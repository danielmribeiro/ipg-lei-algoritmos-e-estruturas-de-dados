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C:\Users\pnunes\Desktop\Dropbox\1314\AED_EI_20132014\Aulas\OT3\"/>
    </mc:Choice>
  </mc:AlternateContent>
  <bookViews>
    <workbookView xWindow="17565" yWindow="2025" windowWidth="29085" windowHeight="18375" tabRatio="500" activeTab="3"/>
  </bookViews>
  <sheets>
    <sheet name="Sheet1" sheetId="1" r:id="rId1"/>
    <sheet name="passos1.0" sheetId="2" r:id="rId2"/>
    <sheet name="passos1.1" sheetId="4" r:id="rId3"/>
    <sheet name="Sheet5" sheetId="5" r:id="rId4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" i="1" l="1"/>
  <c r="B10" i="1"/>
  <c r="C11" i="1"/>
  <c r="C12" i="1"/>
  <c r="I10" i="1"/>
  <c r="J10" i="1"/>
  <c r="J11" i="1"/>
  <c r="J12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10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I17" i="1"/>
  <c r="N16" i="1"/>
  <c r="N15" i="1"/>
  <c r="I15" i="1"/>
  <c r="N14" i="1"/>
  <c r="N13" i="1"/>
  <c r="N12" i="1"/>
  <c r="N11" i="1"/>
  <c r="N10" i="1"/>
  <c r="M9" i="1"/>
  <c r="N9" i="1"/>
  <c r="N8" i="1"/>
  <c r="N7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G26" i="1"/>
  <c r="G27" i="1"/>
  <c r="G28" i="1"/>
  <c r="G29" i="1"/>
  <c r="G30" i="1"/>
  <c r="G7" i="1"/>
  <c r="B17" i="1"/>
  <c r="B15" i="1"/>
</calcChain>
</file>

<file path=xl/sharedStrings.xml><?xml version="1.0" encoding="utf-8"?>
<sst xmlns="http://schemas.openxmlformats.org/spreadsheetml/2006/main" count="211" uniqueCount="100">
  <si>
    <t>m</t>
  </si>
  <si>
    <t>Salary</t>
  </si>
  <si>
    <t>Cut (%)</t>
  </si>
  <si>
    <t>b</t>
  </si>
  <si>
    <t>y (Salary)</t>
  </si>
  <si>
    <t>x (Tax %)</t>
  </si>
  <si>
    <t>Cut (E)</t>
  </si>
  <si>
    <t>y = mx + b</t>
  </si>
  <si>
    <t>m = ( y2 - y1 ) / ( x2 - x1 )</t>
  </si>
  <si>
    <t>b = y2- m x2</t>
  </si>
  <si>
    <t>y2-y1</t>
  </si>
  <si>
    <t>x2-x1</t>
  </si>
  <si>
    <t>CorteSalarioFuncaoPublica2014</t>
  </si>
  <si>
    <t>$$ Paulo Nunes</t>
  </si>
  <si>
    <t>$$ 1.1</t>
  </si>
  <si>
    <t xml:space="preserve">$$ </t>
  </si>
  <si>
    <t>$$ 4</t>
  </si>
  <si>
    <t>$$ 0</t>
  </si>
  <si>
    <t>$$ 3</t>
  </si>
  <si>
    <t>$$ 5</t>
  </si>
  <si>
    <t>$$ 2013-10-27</t>
  </si>
  <si>
    <t>$$ 1.0</t>
  </si>
  <si>
    <t>$$ v1 #Moeda #7.2 #0 #0 #0 #Vencimento com o corte mínimo #€  #&gt;=0 #&lt;= 99999.99 #</t>
  </si>
  <si>
    <t>$$ v2 #Moeda #7.2 #0 #0 #0 #Vencimento com o corte máximo #€  #&gt; v1 #&lt;= 99999.99 #</t>
  </si>
  <si>
    <t>$$ t1 #Real #4.2 #0 #0 #0 #Taxa do corte mínimo #% #&gt;=0 #&lt;= 99.99 #</t>
  </si>
  <si>
    <t>$$ t2 #Real #4.2 #0 #0 #0 #Taxa do corte máximo #% #&gt; t1 #&lt;= 99.99 #</t>
  </si>
  <si>
    <t>$$ v #Moeda #7.2 #0 #0 #0 #Vencimento # #&gt;= -999.99 #&lt;= 99999.99 #</t>
  </si>
  <si>
    <t>$$ 2</t>
  </si>
  <si>
    <t>$$ m #Real #8.4 #0 #0 #0 #Declive (coeficiente angular) # #&gt;= -9999.9999 #&lt;= 9999.9999 #</t>
  </si>
  <si>
    <t>$$ b #Inteiro #7.2 #0 #0 #0 #Coeficiente linear # #&gt;= -99999.99 #&lt;= 99999.99 #</t>
  </si>
  <si>
    <t>$$ Taxa #Real #6.4 #0 #0 #0 #Taxa de corte #% #&gt;= 0.0 #&lt;= 99.9999 #</t>
  </si>
  <si>
    <t>$$ Corte #Real #5.2 #0 #0 #0 #Valor dop corte #€  #&gt;= -999.99 #&lt;= 999.99 #</t>
  </si>
  <si>
    <t>$$ VC #Texto #20 #0 #0 #0 #Vencimento com o corte #€  #&gt;= 0.0 #&lt;= 99999.99 #</t>
  </si>
  <si>
    <t xml:space="preserve">  Corte &amp;#8592; v  × Taxa / 100</t>
  </si>
  <si>
    <t xml:space="preserve">  VC &amp;#8592; V - Corte</t>
  </si>
  <si>
    <t>$$ ##Permite calcular os cortes progressivos nos vencimentos dos funcionários públicos em % e valor. Calcula também o vencimento com o corte.##  SE V &lt; 600 ENTÃO</t>
  </si>
  <si>
    <t xml:space="preserve">     Taxa &amp;#8592; 0.0 </t>
  </si>
  <si>
    <t xml:space="preserve">  SENÃO</t>
  </si>
  <si>
    <t xml:space="preserve">    SE V &gt; 2000 ENTÃO</t>
  </si>
  <si>
    <t xml:space="preserve">      Taxa &amp;#8592; 0.0 </t>
  </si>
  <si>
    <t xml:space="preserve">    SENÃO</t>
  </si>
  <si>
    <t xml:space="preserve">      m &amp;#8592; (y2 - y1) / (x2 - x1)</t>
  </si>
  <si>
    <t xml:space="preserve">      b &amp;#8592; y2 - m × x2</t>
  </si>
  <si>
    <t xml:space="preserve">      Taxa &amp;#8592; (v - b) / m </t>
  </si>
  <si>
    <t xml:space="preserve">    FIMSE</t>
  </si>
  <si>
    <t xml:space="preserve">  FIMSE</t>
  </si>
  <si>
    <t>Passos</t>
  </si>
  <si>
    <t>Número</t>
  </si>
  <si>
    <t>Instruções</t>
  </si>
  <si>
    <t>Início:</t>
  </si>
  <si>
    <t xml:space="preserve">  FAZER</t>
  </si>
  <si>
    <t xml:space="preserve">    ESCREVER "Vencimento com o corte mínimo (€ )?"</t>
  </si>
  <si>
    <t xml:space="preserve">    LER v1</t>
  </si>
  <si>
    <t xml:space="preserve">  ATÉ ( (v1 &gt;=0) E (v1 &lt;= 99999.99) )</t>
  </si>
  <si>
    <t xml:space="preserve">    ESCREVER "Vencimento com o corte máximo (€ )?"</t>
  </si>
  <si>
    <t xml:space="preserve">    LER v2</t>
  </si>
  <si>
    <t xml:space="preserve">  ATÉ ( (v2 &gt; v1) E (v2 &lt;= 99999.99) )</t>
  </si>
  <si>
    <t xml:space="preserve">    ESCREVER "Taxa do corte mínimo (%)?"</t>
  </si>
  <si>
    <t xml:space="preserve">    LER t1</t>
  </si>
  <si>
    <t xml:space="preserve">  ATÉ ( (t1 &gt;=0) E (t1 &lt;= 99.99) )</t>
  </si>
  <si>
    <t xml:space="preserve">    ESCREVER "Taxa do corte máximo (%)?"</t>
  </si>
  <si>
    <t xml:space="preserve">    LER t2</t>
  </si>
  <si>
    <t xml:space="preserve">  ATÉ ( (t2 &gt; t1) E (t2 &lt;= 99.99) )</t>
  </si>
  <si>
    <t xml:space="preserve">    ESCREVER "Vencimento?"</t>
  </si>
  <si>
    <t xml:space="preserve">    LER v</t>
  </si>
  <si>
    <t xml:space="preserve">  ATÉ ( (v &gt;= -999.99) E (v &lt;= 99999.99) )</t>
  </si>
  <si>
    <t xml:space="preserve">  ESCREVER "Taxa de corte: ", Taxa, " %"</t>
  </si>
  <si>
    <t xml:space="preserve">  ESCREVER "Valor dop corte: ", Corte, " € "</t>
  </si>
  <si>
    <t xml:space="preserve">  ESCREVER "Vencimento com o corte: ", VC, " € "</t>
  </si>
  <si>
    <t>Fim.</t>
  </si>
  <si>
    <t xml:space="preserve">     Taxa ← 0.0 </t>
  </si>
  <si>
    <t xml:space="preserve">      Taxa ← 0.0 </t>
  </si>
  <si>
    <t xml:space="preserve">      m ← (y2 - y1) / (x2 - x1)</t>
  </si>
  <si>
    <t xml:space="preserve">      b ← y2 - m × x2</t>
  </si>
  <si>
    <t xml:space="preserve">      Taxa ← (v - b) / m </t>
  </si>
  <si>
    <t xml:space="preserve">  Corte ← v  × Taxa / 100</t>
  </si>
  <si>
    <t xml:space="preserve">  VC ← V - Corte</t>
  </si>
  <si>
    <t xml:space="preserve"> SE V &lt; 600 ENTÃO</t>
  </si>
  <si>
    <t>$$ E #Texto #30 #0 #0 #0 #Equação de corte # # # #</t>
  </si>
  <si>
    <t xml:space="preserve">  E &amp;#8592; "Taxa = (V - " + TEXTO(b) + ") / " + TEXTO(m) </t>
  </si>
  <si>
    <t>ESCREVER "Equação de corte: ", E</t>
  </si>
  <si>
    <t xml:space="preserve"> E ← "Taxa = (V - " + TEXTO(b) + ") / " + TEXTO(m) </t>
  </si>
  <si>
    <t>Tabela traçagem</t>
  </si>
  <si>
    <t>Passo</t>
  </si>
  <si>
    <t>v1</t>
  </si>
  <si>
    <t>v2</t>
  </si>
  <si>
    <t>t1</t>
  </si>
  <si>
    <t>t2</t>
  </si>
  <si>
    <t>v</t>
  </si>
  <si>
    <t>Taxa</t>
  </si>
  <si>
    <t>Corte</t>
  </si>
  <si>
    <t>VC</t>
  </si>
  <si>
    <t>E</t>
  </si>
  <si>
    <t>((v1 &gt;=0) E (v1 &lt;= 99999.99))</t>
  </si>
  <si>
    <t>((v2 &gt; v1) E (v2 &lt;= 99999.99))</t>
  </si>
  <si>
    <t>((t1 &gt;=0) E (t1 &lt;= 99.99))</t>
  </si>
  <si>
    <t>((t2 &gt; t1) E (t2 &lt;= 99.99))</t>
  </si>
  <si>
    <t>((v &gt;= -999.99) E (v &lt;= 99999.99))</t>
  </si>
  <si>
    <t>Passo(seg.)</t>
  </si>
  <si>
    <t>Saída (Ecrã)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</si>
</sst>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0.000"/>
  </numFmts>
  <fonts count="10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charset val="129"/>
      <scheme val="minor"/>
    </font>
    <font>
      <sz val="12"/>
      <color rgb="FFFF0000"/>
      <name val="Calibri"/>
      <family val="2"/>
      <charset val="129"/>
      <scheme val="minor"/>
    </font>
    <font>
      <b/>
      <sz val="12"/>
      <color theme="1"/>
      <name val="Calibri"/>
      <family val="2"/>
      <charset val="129"/>
      <scheme val="minor"/>
    </font>
    <font>
      <u/>
      <sz val="12"/>
      <color theme="10"/>
      <name val="Calibri"/>
      <family val="2"/>
      <charset val="129"/>
      <scheme val="minor"/>
    </font>
    <font>
      <u/>
      <sz val="12"/>
      <color theme="11"/>
      <name val="Calibri"/>
      <family val="2"/>
      <charset val="129"/>
      <scheme val="minor"/>
    </font>
    <font>
      <sz val="32"/>
      <color rgb="FF4E3B30"/>
      <name val="Franklin Gothic Book"/>
    </font>
    <font>
      <sz val="30"/>
      <color rgb="FF4E3B30"/>
      <name val="Franklin Gothic Book"/>
    </font>
    <font>
      <sz val="8"/>
      <name val="Calibri"/>
      <family val="2"/>
      <charset val="129"/>
      <scheme val="minor"/>
    </font>
    <font>
      <b/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2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164" fontId="0" fillId="0" borderId="1" xfId="0" applyNumberFormat="1" applyBorder="1"/>
    <xf numFmtId="0" fontId="3" fillId="0" borderId="1" xfId="0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3" fillId="0" borderId="1" xfId="0" applyFont="1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3" fillId="0" borderId="1" xfId="0" applyFont="1" applyBorder="1" applyAlignment="1">
      <alignment horizontal="center" textRotation="90"/>
    </xf>
    <xf numFmtId="0" fontId="3" fillId="0" borderId="1" xfId="0" applyFont="1" applyBorder="1" applyAlignment="1">
      <alignment textRotation="90"/>
    </xf>
    <xf numFmtId="0" fontId="9" fillId="0" borderId="1" xfId="0" applyFont="1" applyBorder="1" applyAlignment="1">
      <alignment horizontal="center"/>
    </xf>
  </cellXfs>
  <cellStyles count="32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11"/>
  <sheetViews>
    <sheetView topLeftCell="A37" zoomScale="125" zoomScaleNormal="125" zoomScalePageLayoutView="125" workbookViewId="0">
      <selection activeCell="C45" sqref="C45"/>
    </sheetView>
  </sheetViews>
  <sheetFormatPr defaultColWidth="11" defaultRowHeight="15.75"/>
  <cols>
    <col min="4" max="4" width="8.875" customWidth="1"/>
    <col min="7" max="7" width="11.5" customWidth="1"/>
  </cols>
  <sheetData>
    <row r="2" spans="2:14" ht="39.75">
      <c r="B2" s="9" t="s">
        <v>7</v>
      </c>
    </row>
    <row r="3" spans="2:14" ht="37.5">
      <c r="B3" s="10" t="s">
        <v>8</v>
      </c>
    </row>
    <row r="4" spans="2:14" ht="37.5">
      <c r="B4" s="10" t="s">
        <v>9</v>
      </c>
    </row>
    <row r="5" spans="2:14" ht="37.5">
      <c r="B5" s="10"/>
    </row>
    <row r="6" spans="2:14">
      <c r="B6" t="s">
        <v>1</v>
      </c>
      <c r="C6" t="s">
        <v>2</v>
      </c>
      <c r="E6" s="7" t="s">
        <v>4</v>
      </c>
      <c r="F6" s="7" t="s">
        <v>5</v>
      </c>
      <c r="G6" s="8" t="s">
        <v>6</v>
      </c>
      <c r="I6" t="s">
        <v>1</v>
      </c>
      <c r="J6" t="s">
        <v>2</v>
      </c>
      <c r="L6" s="7" t="s">
        <v>4</v>
      </c>
      <c r="M6" s="7" t="s">
        <v>5</v>
      </c>
      <c r="N6" s="8" t="s">
        <v>6</v>
      </c>
    </row>
    <row r="7" spans="2:14">
      <c r="B7">
        <v>1800</v>
      </c>
      <c r="C7">
        <v>16</v>
      </c>
      <c r="E7" s="4">
        <v>1000</v>
      </c>
      <c r="F7" s="4">
        <v>0</v>
      </c>
      <c r="G7" s="5">
        <f>E7*F7/100</f>
        <v>0</v>
      </c>
      <c r="I7">
        <v>2000</v>
      </c>
      <c r="J7">
        <v>12</v>
      </c>
      <c r="L7" s="4">
        <v>400</v>
      </c>
      <c r="M7" s="4">
        <v>0</v>
      </c>
      <c r="N7" s="5">
        <f>L7*M7/100</f>
        <v>0</v>
      </c>
    </row>
    <row r="8" spans="2:14">
      <c r="B8">
        <v>1350</v>
      </c>
      <c r="C8">
        <v>0</v>
      </c>
      <c r="E8" s="4">
        <v>1100</v>
      </c>
      <c r="F8" s="4">
        <v>0</v>
      </c>
      <c r="G8" s="5">
        <f t="shared" ref="G8:G30" si="0">E8*F8/100</f>
        <v>0</v>
      </c>
      <c r="I8">
        <v>600</v>
      </c>
      <c r="J8">
        <v>3.5</v>
      </c>
      <c r="L8" s="4">
        <v>500</v>
      </c>
      <c r="M8" s="4">
        <v>0</v>
      </c>
      <c r="N8" s="5">
        <f t="shared" ref="N8:N30" si="1">L8*M8/100</f>
        <v>0</v>
      </c>
    </row>
    <row r="9" spans="2:14">
      <c r="B9" t="s">
        <v>10</v>
      </c>
      <c r="C9" t="s">
        <v>11</v>
      </c>
      <c r="E9" s="4">
        <v>1200</v>
      </c>
      <c r="F9" s="4">
        <f>0</f>
        <v>0</v>
      </c>
      <c r="G9" s="5">
        <f t="shared" si="0"/>
        <v>0</v>
      </c>
      <c r="I9" t="s">
        <v>10</v>
      </c>
      <c r="J9" t="s">
        <v>11</v>
      </c>
      <c r="L9" s="4">
        <v>599</v>
      </c>
      <c r="M9" s="4">
        <f>0</f>
        <v>0</v>
      </c>
      <c r="N9" s="5">
        <f t="shared" si="1"/>
        <v>0</v>
      </c>
    </row>
    <row r="10" spans="2:14">
      <c r="B10">
        <f>B7-B8</f>
        <v>450</v>
      </c>
      <c r="C10">
        <f>C7-C8</f>
        <v>16</v>
      </c>
      <c r="E10" s="4">
        <v>1350</v>
      </c>
      <c r="F10" s="6">
        <f>ROUND((E10-$C$12)/$C$11,4)</f>
        <v>0</v>
      </c>
      <c r="G10" s="5">
        <f t="shared" si="0"/>
        <v>0</v>
      </c>
      <c r="I10">
        <f>I7-I8</f>
        <v>1400</v>
      </c>
      <c r="J10">
        <f>J7-J8</f>
        <v>8.5</v>
      </c>
      <c r="L10" s="4">
        <v>600</v>
      </c>
      <c r="M10" s="6">
        <f>ROUND((L10-$J$12)/$J$11,4)</f>
        <v>3.5</v>
      </c>
      <c r="N10" s="5">
        <f t="shared" si="1"/>
        <v>21</v>
      </c>
    </row>
    <row r="11" spans="2:14">
      <c r="B11" t="s">
        <v>0</v>
      </c>
      <c r="C11">
        <f>ROUND(B10/C10,4)</f>
        <v>28.125</v>
      </c>
      <c r="E11" s="4">
        <v>1500</v>
      </c>
      <c r="F11" s="6">
        <f t="shared" ref="F11:F25" si="2">ROUND((E11-$C$12)/$C$11,4)</f>
        <v>5.3333000000000004</v>
      </c>
      <c r="G11" s="5">
        <f t="shared" si="0"/>
        <v>79.999500000000012</v>
      </c>
      <c r="I11" t="s">
        <v>0</v>
      </c>
      <c r="J11">
        <f>ROUND(I10/J10,4)</f>
        <v>164.70590000000001</v>
      </c>
      <c r="L11" s="4">
        <v>2000</v>
      </c>
      <c r="M11" s="6">
        <f t="shared" ref="M11:M25" si="3">ROUND((L11-$J$12)/$J$11,4)</f>
        <v>12</v>
      </c>
      <c r="N11" s="5">
        <f t="shared" si="1"/>
        <v>240</v>
      </c>
    </row>
    <row r="12" spans="2:14">
      <c r="B12" t="s">
        <v>3</v>
      </c>
      <c r="C12">
        <f>ROUND(B7-C11*C7,4)</f>
        <v>1350</v>
      </c>
      <c r="E12" s="4">
        <v>1600</v>
      </c>
      <c r="F12" s="6">
        <f t="shared" si="2"/>
        <v>8.8888999999999996</v>
      </c>
      <c r="G12" s="5">
        <f t="shared" si="0"/>
        <v>142.22239999999999</v>
      </c>
      <c r="I12" t="s">
        <v>3</v>
      </c>
      <c r="J12">
        <f>ROUND(I7-J11*J7,4)</f>
        <v>23.529199999999999</v>
      </c>
      <c r="L12" s="4">
        <v>700</v>
      </c>
      <c r="M12" s="6">
        <f t="shared" si="3"/>
        <v>4.1071</v>
      </c>
      <c r="N12" s="5">
        <f t="shared" si="1"/>
        <v>28.749699999999997</v>
      </c>
    </row>
    <row r="13" spans="2:14">
      <c r="E13" s="4">
        <v>1700</v>
      </c>
      <c r="F13" s="6">
        <f t="shared" si="2"/>
        <v>12.4444</v>
      </c>
      <c r="G13" s="5">
        <f t="shared" si="0"/>
        <v>211.5548</v>
      </c>
      <c r="L13" s="4">
        <v>800</v>
      </c>
      <c r="M13" s="6">
        <f t="shared" si="3"/>
        <v>4.7142999999999997</v>
      </c>
      <c r="N13" s="5">
        <f t="shared" si="1"/>
        <v>37.714399999999998</v>
      </c>
    </row>
    <row r="14" spans="2:14">
      <c r="E14" s="4">
        <v>1800</v>
      </c>
      <c r="F14" s="6">
        <f t="shared" si="2"/>
        <v>16</v>
      </c>
      <c r="G14" s="5">
        <f t="shared" si="0"/>
        <v>288</v>
      </c>
      <c r="L14" s="4">
        <v>900</v>
      </c>
      <c r="M14" s="6">
        <f t="shared" si="3"/>
        <v>5.3213999999999997</v>
      </c>
      <c r="N14" s="5">
        <f t="shared" si="1"/>
        <v>47.892599999999995</v>
      </c>
    </row>
    <row r="15" spans="2:14">
      <c r="B15" t="str">
        <f>"y=" &amp;C11&amp;" X + " &amp;C12</f>
        <v>y=28,125 X + 1350</v>
      </c>
      <c r="E15" s="4">
        <v>1900</v>
      </c>
      <c r="F15" s="6">
        <f t="shared" si="2"/>
        <v>19.555599999999998</v>
      </c>
      <c r="G15" s="5">
        <f t="shared" si="0"/>
        <v>371.5564</v>
      </c>
      <c r="I15" t="str">
        <f>"y=" &amp;J11&amp;" X + " &amp;J12</f>
        <v>y=164,7059 X + 23,5292</v>
      </c>
      <c r="L15" s="4">
        <v>1000</v>
      </c>
      <c r="M15" s="6">
        <f t="shared" si="3"/>
        <v>5.9286000000000003</v>
      </c>
      <c r="N15" s="5">
        <f t="shared" si="1"/>
        <v>59.286000000000001</v>
      </c>
    </row>
    <row r="16" spans="2:14">
      <c r="E16" s="4">
        <v>2000</v>
      </c>
      <c r="F16" s="6">
        <f t="shared" si="2"/>
        <v>23.1111</v>
      </c>
      <c r="G16" s="5">
        <f t="shared" si="0"/>
        <v>462.22200000000004</v>
      </c>
      <c r="L16" s="4">
        <v>1100</v>
      </c>
      <c r="M16" s="6">
        <f t="shared" si="3"/>
        <v>6.5357000000000003</v>
      </c>
      <c r="N16" s="5">
        <f t="shared" si="1"/>
        <v>71.892700000000005</v>
      </c>
    </row>
    <row r="17" spans="2:14">
      <c r="B17" t="str">
        <f>"x = (y - " &amp; C12 &amp; ") / " &amp; C11</f>
        <v>x = (y - 1350) / 28,125</v>
      </c>
      <c r="E17" s="4">
        <v>2100</v>
      </c>
      <c r="F17" s="6">
        <f t="shared" si="2"/>
        <v>26.666699999999999</v>
      </c>
      <c r="G17" s="5">
        <f t="shared" si="0"/>
        <v>560.00070000000005</v>
      </c>
      <c r="I17" t="str">
        <f>"x = (y - " &amp; J12 &amp; ") / " &amp; J11</f>
        <v>x = (y - 23,5292) / 164,7059</v>
      </c>
      <c r="L17" s="4">
        <v>1200</v>
      </c>
      <c r="M17" s="6">
        <f t="shared" si="3"/>
        <v>7.1429</v>
      </c>
      <c r="N17" s="5">
        <f t="shared" si="1"/>
        <v>85.714799999999997</v>
      </c>
    </row>
    <row r="18" spans="2:14">
      <c r="E18" s="4">
        <v>2200</v>
      </c>
      <c r="F18" s="6">
        <f t="shared" si="2"/>
        <v>30.222200000000001</v>
      </c>
      <c r="G18" s="5">
        <f t="shared" si="0"/>
        <v>664.88839999999993</v>
      </c>
      <c r="L18" s="4">
        <v>1300</v>
      </c>
      <c r="M18" s="6">
        <f t="shared" si="3"/>
        <v>7.75</v>
      </c>
      <c r="N18" s="5">
        <f t="shared" si="1"/>
        <v>100.75</v>
      </c>
    </row>
    <row r="19" spans="2:14">
      <c r="E19" s="4">
        <v>2300</v>
      </c>
      <c r="F19" s="6">
        <f t="shared" si="2"/>
        <v>33.777799999999999</v>
      </c>
      <c r="G19" s="5">
        <f t="shared" si="0"/>
        <v>776.88940000000002</v>
      </c>
      <c r="L19" s="4">
        <v>1400</v>
      </c>
      <c r="M19" s="6">
        <f t="shared" si="3"/>
        <v>8.3571000000000009</v>
      </c>
      <c r="N19" s="5">
        <f t="shared" si="1"/>
        <v>116.99940000000001</v>
      </c>
    </row>
    <row r="20" spans="2:14">
      <c r="E20" s="4">
        <v>2400</v>
      </c>
      <c r="F20" s="6">
        <f t="shared" si="2"/>
        <v>37.333300000000001</v>
      </c>
      <c r="G20" s="5">
        <f t="shared" si="0"/>
        <v>895.99919999999997</v>
      </c>
      <c r="L20" s="4">
        <v>1500</v>
      </c>
      <c r="M20" s="6">
        <f t="shared" si="3"/>
        <v>8.9642999999999997</v>
      </c>
      <c r="N20" s="5">
        <f t="shared" si="1"/>
        <v>134.46449999999999</v>
      </c>
    </row>
    <row r="21" spans="2:14">
      <c r="E21" s="4">
        <v>2500</v>
      </c>
      <c r="F21" s="6">
        <f t="shared" si="2"/>
        <v>40.8889</v>
      </c>
      <c r="G21" s="5">
        <f t="shared" si="0"/>
        <v>1022.2225</v>
      </c>
      <c r="L21" s="4">
        <v>1600</v>
      </c>
      <c r="M21" s="6">
        <f t="shared" si="3"/>
        <v>9.5714000000000006</v>
      </c>
      <c r="N21" s="5">
        <f t="shared" si="1"/>
        <v>153.14240000000001</v>
      </c>
    </row>
    <row r="22" spans="2:14">
      <c r="E22" s="4">
        <v>2600</v>
      </c>
      <c r="F22" s="6">
        <f t="shared" si="2"/>
        <v>44.444400000000002</v>
      </c>
      <c r="G22" s="5">
        <f t="shared" si="0"/>
        <v>1155.5544</v>
      </c>
      <c r="L22" s="4">
        <v>1700</v>
      </c>
      <c r="M22" s="6">
        <f t="shared" si="3"/>
        <v>10.178599999999999</v>
      </c>
      <c r="N22" s="5">
        <f t="shared" si="1"/>
        <v>173.03619999999998</v>
      </c>
    </row>
    <row r="23" spans="2:14">
      <c r="E23" s="4">
        <v>2700</v>
      </c>
      <c r="F23" s="6">
        <f t="shared" si="2"/>
        <v>48</v>
      </c>
      <c r="G23" s="5">
        <f t="shared" si="0"/>
        <v>1296</v>
      </c>
      <c r="L23" s="4">
        <v>1800</v>
      </c>
      <c r="M23" s="6">
        <f t="shared" si="3"/>
        <v>10.7857</v>
      </c>
      <c r="N23" s="5">
        <f t="shared" si="1"/>
        <v>194.14260000000002</v>
      </c>
    </row>
    <row r="24" spans="2:14">
      <c r="E24" s="4">
        <v>2800</v>
      </c>
      <c r="F24" s="6">
        <f t="shared" si="2"/>
        <v>51.555599999999998</v>
      </c>
      <c r="G24" s="5">
        <f t="shared" si="0"/>
        <v>1443.5567999999998</v>
      </c>
      <c r="L24" s="4">
        <v>1900</v>
      </c>
      <c r="M24" s="6">
        <f t="shared" si="3"/>
        <v>11.392899999999999</v>
      </c>
      <c r="N24" s="5">
        <f t="shared" si="1"/>
        <v>216.46509999999998</v>
      </c>
    </row>
    <row r="25" spans="2:14">
      <c r="E25" s="4">
        <v>2900</v>
      </c>
      <c r="F25" s="6">
        <f t="shared" si="2"/>
        <v>55.1111</v>
      </c>
      <c r="G25" s="5">
        <f t="shared" si="0"/>
        <v>1598.2219</v>
      </c>
      <c r="L25" s="4">
        <v>2000</v>
      </c>
      <c r="M25" s="6">
        <f t="shared" si="3"/>
        <v>12</v>
      </c>
      <c r="N25" s="5">
        <f t="shared" si="1"/>
        <v>240</v>
      </c>
    </row>
    <row r="26" spans="2:14">
      <c r="E26" s="4">
        <v>3000</v>
      </c>
      <c r="F26" s="6">
        <v>12</v>
      </c>
      <c r="G26" s="5">
        <f t="shared" si="0"/>
        <v>360</v>
      </c>
      <c r="L26" s="4">
        <v>2500</v>
      </c>
      <c r="M26" s="6">
        <v>12</v>
      </c>
      <c r="N26" s="5">
        <f t="shared" si="1"/>
        <v>300</v>
      </c>
    </row>
    <row r="27" spans="2:14">
      <c r="E27" s="4">
        <v>3500</v>
      </c>
      <c r="F27" s="6">
        <v>12</v>
      </c>
      <c r="G27" s="5">
        <f t="shared" si="0"/>
        <v>420</v>
      </c>
      <c r="L27" s="4">
        <v>3000</v>
      </c>
      <c r="M27" s="6">
        <v>12</v>
      </c>
      <c r="N27" s="5">
        <f t="shared" si="1"/>
        <v>360</v>
      </c>
    </row>
    <row r="28" spans="2:14">
      <c r="E28" s="4">
        <v>4000</v>
      </c>
      <c r="F28" s="6">
        <v>12</v>
      </c>
      <c r="G28" s="5">
        <f t="shared" si="0"/>
        <v>480</v>
      </c>
      <c r="L28" s="4">
        <v>3500</v>
      </c>
      <c r="M28" s="6">
        <v>12</v>
      </c>
      <c r="N28" s="5">
        <f t="shared" si="1"/>
        <v>420</v>
      </c>
    </row>
    <row r="29" spans="2:14">
      <c r="E29" s="4">
        <v>5000</v>
      </c>
      <c r="F29" s="6">
        <v>12</v>
      </c>
      <c r="G29" s="5">
        <f t="shared" si="0"/>
        <v>600</v>
      </c>
      <c r="L29" s="4">
        <v>4000</v>
      </c>
      <c r="M29" s="6">
        <v>12</v>
      </c>
      <c r="N29" s="5">
        <f t="shared" si="1"/>
        <v>480</v>
      </c>
    </row>
    <row r="30" spans="2:14">
      <c r="E30" s="4">
        <v>10000</v>
      </c>
      <c r="F30" s="6">
        <v>12</v>
      </c>
      <c r="G30" s="5">
        <f t="shared" si="0"/>
        <v>1200</v>
      </c>
      <c r="L30" s="4">
        <v>5000</v>
      </c>
      <c r="M30" s="6">
        <v>12</v>
      </c>
      <c r="N30" s="5">
        <f t="shared" si="1"/>
        <v>600</v>
      </c>
    </row>
    <row r="43" spans="2:3">
      <c r="B43" t="s">
        <v>12</v>
      </c>
    </row>
    <row r="44" spans="2:3">
      <c r="B44" t="s">
        <v>20</v>
      </c>
      <c r="C44" s="1"/>
    </row>
    <row r="45" spans="2:3">
      <c r="B45" t="s">
        <v>13</v>
      </c>
      <c r="C45" s="1"/>
    </row>
    <row r="46" spans="2:3">
      <c r="B46" t="s">
        <v>21</v>
      </c>
      <c r="C46" s="1"/>
    </row>
    <row r="47" spans="2:3">
      <c r="B47" t="s">
        <v>15</v>
      </c>
    </row>
    <row r="48" spans="2:3">
      <c r="B48" t="s">
        <v>17</v>
      </c>
    </row>
    <row r="49" spans="2:2">
      <c r="B49" t="s">
        <v>19</v>
      </c>
    </row>
    <row r="50" spans="2:2">
      <c r="B50" t="s">
        <v>22</v>
      </c>
    </row>
    <row r="51" spans="2:2">
      <c r="B51" t="s">
        <v>23</v>
      </c>
    </row>
    <row r="52" spans="2:2">
      <c r="B52" t="s">
        <v>24</v>
      </c>
    </row>
    <row r="53" spans="2:2">
      <c r="B53" t="s">
        <v>25</v>
      </c>
    </row>
    <row r="54" spans="2:2">
      <c r="B54" t="s">
        <v>26</v>
      </c>
    </row>
    <row r="55" spans="2:2">
      <c r="B55" t="s">
        <v>27</v>
      </c>
    </row>
    <row r="56" spans="2:2">
      <c r="B56" t="s">
        <v>28</v>
      </c>
    </row>
    <row r="57" spans="2:2">
      <c r="B57" t="s">
        <v>29</v>
      </c>
    </row>
    <row r="58" spans="2:2">
      <c r="B58" t="s">
        <v>18</v>
      </c>
    </row>
    <row r="59" spans="2:2">
      <c r="B59" t="s">
        <v>30</v>
      </c>
    </row>
    <row r="60" spans="2:2">
      <c r="B60" t="s">
        <v>31</v>
      </c>
    </row>
    <row r="61" spans="2:2">
      <c r="B61" t="s">
        <v>32</v>
      </c>
    </row>
    <row r="62" spans="2:2">
      <c r="B62" t="s">
        <v>35</v>
      </c>
    </row>
    <row r="63" spans="2:2">
      <c r="B63" t="s">
        <v>36</v>
      </c>
    </row>
    <row r="64" spans="2:2">
      <c r="B64" t="s">
        <v>37</v>
      </c>
    </row>
    <row r="65" spans="2:2">
      <c r="B65" t="s">
        <v>38</v>
      </c>
    </row>
    <row r="66" spans="2:2">
      <c r="B66" t="s">
        <v>39</v>
      </c>
    </row>
    <row r="67" spans="2:2">
      <c r="B67" t="s">
        <v>40</v>
      </c>
    </row>
    <row r="68" spans="2:2">
      <c r="B68" t="s">
        <v>41</v>
      </c>
    </row>
    <row r="69" spans="2:2">
      <c r="B69" t="s">
        <v>42</v>
      </c>
    </row>
    <row r="70" spans="2:2">
      <c r="B70" t="s">
        <v>43</v>
      </c>
    </row>
    <row r="71" spans="2:2">
      <c r="B71" t="s">
        <v>44</v>
      </c>
    </row>
    <row r="72" spans="2:2">
      <c r="B72" t="s">
        <v>45</v>
      </c>
    </row>
    <row r="73" spans="2:2">
      <c r="B73" t="s">
        <v>33</v>
      </c>
    </row>
    <row r="74" spans="2:2">
      <c r="B74" t="s">
        <v>34</v>
      </c>
    </row>
    <row r="78" spans="2:2">
      <c r="B78" t="s">
        <v>12</v>
      </c>
    </row>
    <row r="79" spans="2:2">
      <c r="B79" t="s">
        <v>20</v>
      </c>
    </row>
    <row r="80" spans="2:2">
      <c r="B80" t="s">
        <v>13</v>
      </c>
    </row>
    <row r="81" spans="2:2">
      <c r="B81" s="12" t="s">
        <v>14</v>
      </c>
    </row>
    <row r="82" spans="2:2">
      <c r="B82" t="s">
        <v>15</v>
      </c>
    </row>
    <row r="83" spans="2:2">
      <c r="B83" t="s">
        <v>17</v>
      </c>
    </row>
    <row r="84" spans="2:2">
      <c r="B84" t="s">
        <v>19</v>
      </c>
    </row>
    <row r="85" spans="2:2">
      <c r="B85" t="s">
        <v>22</v>
      </c>
    </row>
    <row r="86" spans="2:2">
      <c r="B86" t="s">
        <v>23</v>
      </c>
    </row>
    <row r="87" spans="2:2">
      <c r="B87" t="s">
        <v>24</v>
      </c>
    </row>
    <row r="88" spans="2:2">
      <c r="B88" t="s">
        <v>25</v>
      </c>
    </row>
    <row r="89" spans="2:2">
      <c r="B89" t="s">
        <v>26</v>
      </c>
    </row>
    <row r="90" spans="2:2">
      <c r="B90" t="s">
        <v>27</v>
      </c>
    </row>
    <row r="91" spans="2:2">
      <c r="B91" t="s">
        <v>28</v>
      </c>
    </row>
    <row r="92" spans="2:2">
      <c r="B92" t="s">
        <v>29</v>
      </c>
    </row>
    <row r="93" spans="2:2">
      <c r="B93" t="s">
        <v>16</v>
      </c>
    </row>
    <row r="94" spans="2:2">
      <c r="B94" t="s">
        <v>30</v>
      </c>
    </row>
    <row r="95" spans="2:2">
      <c r="B95" t="s">
        <v>31</v>
      </c>
    </row>
    <row r="96" spans="2:2">
      <c r="B96" t="s">
        <v>32</v>
      </c>
    </row>
    <row r="97" spans="2:2">
      <c r="B97" t="s">
        <v>78</v>
      </c>
    </row>
    <row r="98" spans="2:2">
      <c r="B98" t="s">
        <v>35</v>
      </c>
    </row>
    <row r="99" spans="2:2">
      <c r="B99" t="s">
        <v>36</v>
      </c>
    </row>
    <row r="100" spans="2:2">
      <c r="B100" t="s">
        <v>37</v>
      </c>
    </row>
    <row r="101" spans="2:2">
      <c r="B101" t="s">
        <v>38</v>
      </c>
    </row>
    <row r="102" spans="2:2">
      <c r="B102" t="s">
        <v>39</v>
      </c>
    </row>
    <row r="103" spans="2:2">
      <c r="B103" t="s">
        <v>40</v>
      </c>
    </row>
    <row r="104" spans="2:2">
      <c r="B104" t="s">
        <v>41</v>
      </c>
    </row>
    <row r="105" spans="2:2">
      <c r="B105" t="s">
        <v>42</v>
      </c>
    </row>
    <row r="106" spans="2:2">
      <c r="B106" t="s">
        <v>43</v>
      </c>
    </row>
    <row r="107" spans="2:2">
      <c r="B107" t="s">
        <v>44</v>
      </c>
    </row>
    <row r="108" spans="2:2">
      <c r="B108" t="s">
        <v>45</v>
      </c>
    </row>
    <row r="109" spans="2:2">
      <c r="B109" t="s">
        <v>33</v>
      </c>
    </row>
    <row r="110" spans="2:2">
      <c r="B110" t="s">
        <v>34</v>
      </c>
    </row>
    <row r="111" spans="2:2">
      <c r="B111" t="s">
        <v>79</v>
      </c>
    </row>
  </sheetData>
  <phoneticPr fontId="8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1"/>
  <sheetViews>
    <sheetView workbookViewId="0">
      <selection sqref="A1:XFD1"/>
    </sheetView>
  </sheetViews>
  <sheetFormatPr defaultColWidth="11" defaultRowHeight="15.75"/>
  <cols>
    <col min="1" max="1" width="7.5" customWidth="1"/>
    <col min="2" max="2" width="9.625" style="2" customWidth="1"/>
    <col min="3" max="3" width="55.125" customWidth="1"/>
  </cols>
  <sheetData>
    <row r="2" spans="2:3" ht="18.75">
      <c r="B2" s="19" t="s">
        <v>46</v>
      </c>
      <c r="C2" s="19"/>
    </row>
    <row r="3" spans="2:3">
      <c r="B3" s="7" t="s">
        <v>47</v>
      </c>
      <c r="C3" s="11" t="s">
        <v>48</v>
      </c>
    </row>
    <row r="4" spans="2:3">
      <c r="B4" s="3">
        <v>1</v>
      </c>
      <c r="C4" s="4" t="s">
        <v>49</v>
      </c>
    </row>
    <row r="5" spans="2:3">
      <c r="B5" s="3">
        <v>2</v>
      </c>
      <c r="C5" s="4" t="s">
        <v>50</v>
      </c>
    </row>
    <row r="6" spans="2:3">
      <c r="B6" s="3">
        <v>3</v>
      </c>
      <c r="C6" s="4" t="s">
        <v>51</v>
      </c>
    </row>
    <row r="7" spans="2:3">
      <c r="B7" s="3">
        <v>4</v>
      </c>
      <c r="C7" s="4" t="s">
        <v>52</v>
      </c>
    </row>
    <row r="8" spans="2:3">
      <c r="B8" s="3">
        <v>5</v>
      </c>
      <c r="C8" s="4" t="s">
        <v>53</v>
      </c>
    </row>
    <row r="9" spans="2:3">
      <c r="B9" s="3">
        <v>6</v>
      </c>
      <c r="C9" s="4" t="s">
        <v>50</v>
      </c>
    </row>
    <row r="10" spans="2:3">
      <c r="B10" s="3">
        <v>7</v>
      </c>
      <c r="C10" s="4" t="s">
        <v>54</v>
      </c>
    </row>
    <row r="11" spans="2:3">
      <c r="B11" s="3">
        <v>8</v>
      </c>
      <c r="C11" s="4" t="s">
        <v>55</v>
      </c>
    </row>
    <row r="12" spans="2:3">
      <c r="B12" s="3">
        <v>9</v>
      </c>
      <c r="C12" s="4" t="s">
        <v>56</v>
      </c>
    </row>
    <row r="13" spans="2:3">
      <c r="B13" s="3">
        <v>10</v>
      </c>
      <c r="C13" s="4" t="s">
        <v>50</v>
      </c>
    </row>
    <row r="14" spans="2:3">
      <c r="B14" s="3">
        <v>11</v>
      </c>
      <c r="C14" s="4" t="s">
        <v>57</v>
      </c>
    </row>
    <row r="15" spans="2:3">
      <c r="B15" s="3">
        <v>12</v>
      </c>
      <c r="C15" s="4" t="s">
        <v>58</v>
      </c>
    </row>
    <row r="16" spans="2:3">
      <c r="B16" s="3">
        <v>13</v>
      </c>
      <c r="C16" s="4" t="s">
        <v>59</v>
      </c>
    </row>
    <row r="17" spans="2:3">
      <c r="B17" s="3">
        <v>14</v>
      </c>
      <c r="C17" s="4" t="s">
        <v>50</v>
      </c>
    </row>
    <row r="18" spans="2:3">
      <c r="B18" s="3">
        <v>15</v>
      </c>
      <c r="C18" s="4" t="s">
        <v>60</v>
      </c>
    </row>
    <row r="19" spans="2:3">
      <c r="B19" s="3">
        <v>16</v>
      </c>
      <c r="C19" s="4" t="s">
        <v>61</v>
      </c>
    </row>
    <row r="20" spans="2:3">
      <c r="B20" s="3">
        <v>17</v>
      </c>
      <c r="C20" s="4" t="s">
        <v>62</v>
      </c>
    </row>
    <row r="21" spans="2:3">
      <c r="B21" s="3">
        <v>18</v>
      </c>
      <c r="C21" s="4" t="s">
        <v>50</v>
      </c>
    </row>
    <row r="22" spans="2:3">
      <c r="B22" s="3">
        <v>19</v>
      </c>
      <c r="C22" s="4" t="s">
        <v>63</v>
      </c>
    </row>
    <row r="23" spans="2:3">
      <c r="B23" s="3">
        <v>20</v>
      </c>
      <c r="C23" s="4" t="s">
        <v>64</v>
      </c>
    </row>
    <row r="24" spans="2:3">
      <c r="B24" s="3">
        <v>21</v>
      </c>
      <c r="C24" s="4" t="s">
        <v>65</v>
      </c>
    </row>
    <row r="25" spans="2:3">
      <c r="B25" s="3">
        <v>22</v>
      </c>
      <c r="C25" s="4" t="s">
        <v>77</v>
      </c>
    </row>
    <row r="26" spans="2:3">
      <c r="B26" s="3">
        <v>23</v>
      </c>
      <c r="C26" s="4" t="s">
        <v>70</v>
      </c>
    </row>
    <row r="27" spans="2:3">
      <c r="B27" s="3">
        <v>24</v>
      </c>
      <c r="C27" s="4" t="s">
        <v>37</v>
      </c>
    </row>
    <row r="28" spans="2:3">
      <c r="B28" s="3">
        <v>25</v>
      </c>
      <c r="C28" s="4" t="s">
        <v>38</v>
      </c>
    </row>
    <row r="29" spans="2:3">
      <c r="B29" s="3">
        <v>26</v>
      </c>
      <c r="C29" s="4" t="s">
        <v>71</v>
      </c>
    </row>
    <row r="30" spans="2:3">
      <c r="B30" s="3">
        <v>27</v>
      </c>
      <c r="C30" s="4" t="s">
        <v>40</v>
      </c>
    </row>
    <row r="31" spans="2:3">
      <c r="B31" s="3">
        <v>28</v>
      </c>
      <c r="C31" s="4" t="s">
        <v>72</v>
      </c>
    </row>
    <row r="32" spans="2:3">
      <c r="B32" s="3">
        <v>29</v>
      </c>
      <c r="C32" s="4" t="s">
        <v>73</v>
      </c>
    </row>
    <row r="33" spans="2:3">
      <c r="B33" s="3">
        <v>30</v>
      </c>
      <c r="C33" s="4" t="s">
        <v>74</v>
      </c>
    </row>
    <row r="34" spans="2:3">
      <c r="B34" s="3">
        <v>31</v>
      </c>
      <c r="C34" s="4" t="s">
        <v>44</v>
      </c>
    </row>
    <row r="35" spans="2:3">
      <c r="B35" s="3">
        <v>32</v>
      </c>
      <c r="C35" s="4" t="s">
        <v>45</v>
      </c>
    </row>
    <row r="36" spans="2:3">
      <c r="B36" s="3">
        <v>33</v>
      </c>
      <c r="C36" s="4" t="s">
        <v>75</v>
      </c>
    </row>
    <row r="37" spans="2:3">
      <c r="B37" s="3">
        <v>34</v>
      </c>
      <c r="C37" s="4" t="s">
        <v>76</v>
      </c>
    </row>
    <row r="38" spans="2:3">
      <c r="B38" s="3">
        <v>35</v>
      </c>
      <c r="C38" s="4" t="s">
        <v>66</v>
      </c>
    </row>
    <row r="39" spans="2:3">
      <c r="B39" s="3">
        <v>36</v>
      </c>
      <c r="C39" s="4" t="s">
        <v>67</v>
      </c>
    </row>
    <row r="40" spans="2:3">
      <c r="B40" s="3">
        <v>37</v>
      </c>
      <c r="C40" s="4" t="s">
        <v>68</v>
      </c>
    </row>
    <row r="41" spans="2:3">
      <c r="B41" s="3">
        <v>38</v>
      </c>
      <c r="C41" s="4" t="s">
        <v>69</v>
      </c>
    </row>
  </sheetData>
  <mergeCells count="1">
    <mergeCell ref="B2:C2"/>
  </mergeCells>
  <phoneticPr fontId="8" type="noConversion"/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X45"/>
  <sheetViews>
    <sheetView topLeftCell="A10" workbookViewId="0">
      <selection activeCell="D46" sqref="D46"/>
    </sheetView>
  </sheetViews>
  <sheetFormatPr defaultColWidth="11" defaultRowHeight="15.75"/>
  <cols>
    <col min="1" max="1" width="7.5" customWidth="1"/>
    <col min="2" max="2" width="9.625" style="2" customWidth="1"/>
    <col min="3" max="3" width="55.125" customWidth="1"/>
    <col min="7" max="13" width="3.875" customWidth="1"/>
    <col min="14" max="22" width="6.125" customWidth="1"/>
    <col min="23" max="23" width="3.875" customWidth="1"/>
    <col min="24" max="24" width="33.125" customWidth="1"/>
  </cols>
  <sheetData>
    <row r="4" spans="2:24" ht="18.75">
      <c r="B4" s="19" t="s">
        <v>46</v>
      </c>
      <c r="C4" s="19"/>
      <c r="F4" s="16" t="s">
        <v>82</v>
      </c>
    </row>
    <row r="5" spans="2:24" ht="172.5">
      <c r="B5" s="7" t="s">
        <v>47</v>
      </c>
      <c r="C5" s="11" t="s">
        <v>48</v>
      </c>
      <c r="F5" s="7" t="s">
        <v>83</v>
      </c>
      <c r="G5" s="7" t="s">
        <v>84</v>
      </c>
      <c r="H5" s="7" t="s">
        <v>85</v>
      </c>
      <c r="I5" s="7" t="s">
        <v>86</v>
      </c>
      <c r="J5" s="7" t="s">
        <v>87</v>
      </c>
      <c r="K5" s="7" t="s">
        <v>88</v>
      </c>
      <c r="L5" s="7" t="s">
        <v>0</v>
      </c>
      <c r="M5" s="7" t="s">
        <v>3</v>
      </c>
      <c r="N5" s="7" t="s">
        <v>89</v>
      </c>
      <c r="O5" s="7" t="s">
        <v>90</v>
      </c>
      <c r="P5" s="7" t="s">
        <v>91</v>
      </c>
      <c r="Q5" s="7" t="s">
        <v>92</v>
      </c>
      <c r="R5" s="17" t="s">
        <v>93</v>
      </c>
      <c r="S5" s="17" t="s">
        <v>94</v>
      </c>
      <c r="T5" s="17" t="s">
        <v>95</v>
      </c>
      <c r="U5" s="17" t="s">
        <v>96</v>
      </c>
      <c r="V5" s="17" t="s">
        <v>97</v>
      </c>
      <c r="W5" s="18" t="s">
        <v>98</v>
      </c>
      <c r="X5" s="11" t="s">
        <v>99</v>
      </c>
    </row>
    <row r="6" spans="2:24">
      <c r="B6" s="3">
        <v>1</v>
      </c>
      <c r="C6" s="4" t="s">
        <v>49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3"/>
    </row>
    <row r="7" spans="2:24">
      <c r="B7" s="3">
        <v>2</v>
      </c>
      <c r="C7" s="4" t="s">
        <v>50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4"/>
    </row>
    <row r="8" spans="2:24">
      <c r="B8" s="3">
        <v>3</v>
      </c>
      <c r="C8" s="4" t="s">
        <v>51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14"/>
    </row>
    <row r="9" spans="2:24">
      <c r="B9" s="3">
        <v>4</v>
      </c>
      <c r="C9" s="4" t="s">
        <v>52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4"/>
    </row>
    <row r="10" spans="2:24">
      <c r="B10" s="3">
        <v>5</v>
      </c>
      <c r="C10" s="4" t="s">
        <v>53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4"/>
    </row>
    <row r="11" spans="2:24">
      <c r="B11" s="3">
        <v>6</v>
      </c>
      <c r="C11" s="4" t="s">
        <v>50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14"/>
    </row>
    <row r="12" spans="2:24">
      <c r="B12" s="3">
        <v>7</v>
      </c>
      <c r="C12" s="4" t="s">
        <v>54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14"/>
    </row>
    <row r="13" spans="2:24">
      <c r="B13" s="3">
        <v>8</v>
      </c>
      <c r="C13" s="4" t="s">
        <v>55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14"/>
    </row>
    <row r="14" spans="2:24">
      <c r="B14" s="3">
        <v>9</v>
      </c>
      <c r="C14" s="4" t="s">
        <v>56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14"/>
    </row>
    <row r="15" spans="2:24">
      <c r="B15" s="3">
        <v>10</v>
      </c>
      <c r="C15" s="4" t="s">
        <v>50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4"/>
    </row>
    <row r="16" spans="2:24">
      <c r="B16" s="3">
        <v>11</v>
      </c>
      <c r="C16" s="4" t="s">
        <v>57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4"/>
    </row>
    <row r="17" spans="2:24">
      <c r="B17" s="3">
        <v>12</v>
      </c>
      <c r="C17" s="4" t="s">
        <v>58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14"/>
    </row>
    <row r="18" spans="2:24">
      <c r="B18" s="3">
        <v>13</v>
      </c>
      <c r="C18" s="4" t="s">
        <v>59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4"/>
    </row>
    <row r="19" spans="2:24">
      <c r="B19" s="3">
        <v>14</v>
      </c>
      <c r="C19" s="4" t="s">
        <v>50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4"/>
    </row>
    <row r="20" spans="2:24">
      <c r="B20" s="3">
        <v>15</v>
      </c>
      <c r="C20" s="4" t="s">
        <v>60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14"/>
    </row>
    <row r="21" spans="2:24">
      <c r="B21" s="3">
        <v>16</v>
      </c>
      <c r="C21" s="4" t="s">
        <v>61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14"/>
    </row>
    <row r="22" spans="2:24">
      <c r="B22" s="3">
        <v>17</v>
      </c>
      <c r="C22" s="4" t="s">
        <v>62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14"/>
    </row>
    <row r="23" spans="2:24">
      <c r="B23" s="3">
        <v>18</v>
      </c>
      <c r="C23" s="4" t="s">
        <v>50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14"/>
    </row>
    <row r="24" spans="2:24">
      <c r="B24" s="3">
        <v>19</v>
      </c>
      <c r="C24" s="4" t="s">
        <v>63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15"/>
    </row>
    <row r="25" spans="2:24">
      <c r="B25" s="3">
        <v>20</v>
      </c>
      <c r="C25" s="4" t="s">
        <v>64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14"/>
    </row>
    <row r="26" spans="2:24">
      <c r="B26" s="3">
        <v>21</v>
      </c>
      <c r="C26" s="4" t="s">
        <v>65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14"/>
    </row>
    <row r="27" spans="2:24">
      <c r="B27" s="3">
        <v>22</v>
      </c>
      <c r="C27" s="4" t="s">
        <v>77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14"/>
    </row>
    <row r="28" spans="2:24">
      <c r="B28" s="3">
        <v>23</v>
      </c>
      <c r="C28" s="4" t="s">
        <v>70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14"/>
    </row>
    <row r="29" spans="2:24">
      <c r="B29" s="3">
        <v>24</v>
      </c>
      <c r="C29" s="4" t="s">
        <v>37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14"/>
    </row>
    <row r="30" spans="2:24">
      <c r="B30" s="3">
        <v>25</v>
      </c>
      <c r="C30" s="4" t="s">
        <v>38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14"/>
    </row>
    <row r="31" spans="2:24">
      <c r="B31" s="3">
        <v>26</v>
      </c>
      <c r="C31" s="4" t="s">
        <v>71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14"/>
    </row>
    <row r="32" spans="2:24">
      <c r="B32" s="3">
        <v>27</v>
      </c>
      <c r="C32" s="4" t="s">
        <v>40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14"/>
    </row>
    <row r="33" spans="2:24">
      <c r="B33" s="3">
        <v>28</v>
      </c>
      <c r="C33" s="4" t="s">
        <v>72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15"/>
    </row>
    <row r="34" spans="2:24">
      <c r="B34" s="3">
        <v>29</v>
      </c>
      <c r="C34" s="4" t="s">
        <v>73</v>
      </c>
    </row>
    <row r="35" spans="2:24">
      <c r="B35" s="3">
        <v>30</v>
      </c>
      <c r="C35" s="4" t="s">
        <v>74</v>
      </c>
    </row>
    <row r="36" spans="2:24">
      <c r="B36" s="3">
        <v>31</v>
      </c>
      <c r="C36" s="4" t="s">
        <v>44</v>
      </c>
    </row>
    <row r="37" spans="2:24">
      <c r="B37" s="3">
        <v>32</v>
      </c>
      <c r="C37" s="4" t="s">
        <v>45</v>
      </c>
    </row>
    <row r="38" spans="2:24">
      <c r="B38" s="3">
        <v>33</v>
      </c>
      <c r="C38" s="4" t="s">
        <v>75</v>
      </c>
    </row>
    <row r="39" spans="2:24">
      <c r="B39" s="3">
        <v>34</v>
      </c>
      <c r="C39" s="4" t="s">
        <v>76</v>
      </c>
    </row>
    <row r="40" spans="2:24">
      <c r="B40" s="3">
        <v>35</v>
      </c>
      <c r="C40" s="4" t="s">
        <v>81</v>
      </c>
    </row>
    <row r="41" spans="2:24">
      <c r="B41" s="3">
        <v>36</v>
      </c>
      <c r="C41" s="4" t="s">
        <v>66</v>
      </c>
    </row>
    <row r="42" spans="2:24">
      <c r="B42" s="3">
        <v>37</v>
      </c>
      <c r="C42" s="4" t="s">
        <v>67</v>
      </c>
    </row>
    <row r="43" spans="2:24">
      <c r="B43" s="3">
        <v>38</v>
      </c>
      <c r="C43" s="4" t="s">
        <v>68</v>
      </c>
    </row>
    <row r="44" spans="2:24">
      <c r="B44" s="3">
        <v>39</v>
      </c>
      <c r="C44" s="4" t="s">
        <v>80</v>
      </c>
    </row>
    <row r="45" spans="2:24">
      <c r="B45" s="3">
        <v>38</v>
      </c>
      <c r="C45" s="4" t="s">
        <v>69</v>
      </c>
    </row>
  </sheetData>
  <mergeCells count="1">
    <mergeCell ref="B4:C4"/>
  </mergeCells>
  <phoneticPr fontId="8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T31"/>
  <sheetViews>
    <sheetView tabSelected="1" workbookViewId="0">
      <selection activeCell="N16" sqref="N16"/>
    </sheetView>
  </sheetViews>
  <sheetFormatPr defaultColWidth="11" defaultRowHeight="15.75"/>
  <cols>
    <col min="1" max="1" width="5.875" customWidth="1"/>
    <col min="3" max="9" width="3.875" customWidth="1"/>
    <col min="10" max="18" width="6.125" customWidth="1"/>
    <col min="19" max="19" width="3.875" customWidth="1"/>
    <col min="20" max="20" width="33.125" customWidth="1"/>
  </cols>
  <sheetData>
    <row r="2" spans="2:20">
      <c r="B2" s="16" t="s">
        <v>82</v>
      </c>
    </row>
    <row r="3" spans="2:20" ht="172.5"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88</v>
      </c>
      <c r="H3" s="7" t="s">
        <v>0</v>
      </c>
      <c r="I3" s="7" t="s">
        <v>3</v>
      </c>
      <c r="J3" s="7" t="s">
        <v>89</v>
      </c>
      <c r="K3" s="7" t="s">
        <v>90</v>
      </c>
      <c r="L3" s="7" t="s">
        <v>91</v>
      </c>
      <c r="M3" s="7" t="s">
        <v>92</v>
      </c>
      <c r="N3" s="17" t="s">
        <v>93</v>
      </c>
      <c r="O3" s="17" t="s">
        <v>94</v>
      </c>
      <c r="P3" s="17" t="s">
        <v>95</v>
      </c>
      <c r="Q3" s="17" t="s">
        <v>96</v>
      </c>
      <c r="R3" s="17" t="s">
        <v>97</v>
      </c>
      <c r="S3" s="18" t="s">
        <v>98</v>
      </c>
      <c r="T3" s="11" t="s">
        <v>99</v>
      </c>
    </row>
    <row r="4" spans="2:20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13"/>
    </row>
    <row r="5" spans="2:20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14"/>
    </row>
    <row r="6" spans="2:20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4"/>
    </row>
    <row r="7" spans="2:20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4"/>
    </row>
    <row r="8" spans="2:20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4"/>
    </row>
    <row r="9" spans="2:20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14"/>
    </row>
    <row r="10" spans="2:20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14"/>
    </row>
    <row r="11" spans="2:20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14"/>
    </row>
    <row r="12" spans="2:20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14"/>
    </row>
    <row r="13" spans="2:20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14"/>
    </row>
    <row r="14" spans="2:20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14"/>
    </row>
    <row r="15" spans="2:20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14"/>
    </row>
    <row r="16" spans="2:20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14"/>
    </row>
    <row r="17" spans="2:20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14"/>
    </row>
    <row r="18" spans="2:20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14"/>
    </row>
    <row r="19" spans="2:20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14"/>
    </row>
    <row r="20" spans="2:20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4"/>
    </row>
    <row r="21" spans="2:20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14"/>
    </row>
    <row r="22" spans="2:20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15"/>
    </row>
    <row r="23" spans="2:20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14"/>
    </row>
    <row r="24" spans="2:20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14"/>
    </row>
    <row r="25" spans="2:20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14"/>
    </row>
    <row r="26" spans="2:20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4"/>
    </row>
    <row r="27" spans="2:20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14"/>
    </row>
    <row r="28" spans="2:20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14"/>
    </row>
    <row r="29" spans="2:20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14"/>
    </row>
    <row r="30" spans="2:20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14"/>
    </row>
    <row r="31" spans="2:20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15"/>
    </row>
  </sheetData>
  <phoneticPr fontId="8" type="noConversion"/>
  <pageMargins left="0.25" right="0.25" top="0.75000000000000011" bottom="0.75000000000000011" header="0.30000000000000004" footer="0.30000000000000004"/>
  <pageSetup paperSize="9" scale="7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passos1.0</vt:lpstr>
      <vt:lpstr>passos1.1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pnunes</cp:lastModifiedBy>
  <cp:lastPrinted>2013-10-28T09:58:08Z</cp:lastPrinted>
  <dcterms:created xsi:type="dcterms:W3CDTF">2013-10-27T18:56:47Z</dcterms:created>
  <dcterms:modified xsi:type="dcterms:W3CDTF">2013-10-28T10:00:31Z</dcterms:modified>
</cp:coreProperties>
</file>