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AED\"/>
    </mc:Choice>
  </mc:AlternateContent>
  <bookViews>
    <workbookView xWindow="17565" yWindow="2025" windowWidth="29085" windowHeight="18375" tabRatio="500" activeTab="3"/>
  </bookViews>
  <sheets>
    <sheet name="Sheet1" sheetId="1" r:id="rId1"/>
    <sheet name="passos1.0" sheetId="2" r:id="rId2"/>
    <sheet name="passos1.1" sheetId="4" r:id="rId3"/>
    <sheet name="Sheet5" sheetId="5" r:id="rId4"/>
    <sheet name="Folha1" sheetId="6" r:id="rId5"/>
    <sheet name="Folha2" sheetId="7" r:id="rId6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0" i="5" l="1"/>
  <c r="K29" i="5"/>
  <c r="J28" i="5"/>
  <c r="H26" i="5"/>
  <c r="I27" i="5"/>
  <c r="C10" i="1"/>
  <c r="B10" i="1"/>
  <c r="C11" i="1"/>
  <c r="C12" i="1"/>
  <c r="I10" i="1"/>
  <c r="J10" i="1"/>
  <c r="J11" i="1"/>
  <c r="J12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10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I17" i="1"/>
  <c r="N16" i="1"/>
  <c r="N15" i="1"/>
  <c r="I15" i="1"/>
  <c r="N14" i="1"/>
  <c r="N13" i="1"/>
  <c r="N12" i="1"/>
  <c r="N11" i="1"/>
  <c r="N10" i="1"/>
  <c r="M9" i="1"/>
  <c r="N9" i="1"/>
  <c r="N8" i="1"/>
  <c r="N7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G26" i="1"/>
  <c r="G27" i="1"/>
  <c r="G28" i="1"/>
  <c r="G29" i="1"/>
  <c r="G30" i="1"/>
  <c r="G7" i="1"/>
  <c r="B17" i="1"/>
  <c r="B15" i="1"/>
</calcChain>
</file>

<file path=xl/sharedStrings.xml><?xml version="1.0" encoding="utf-8"?>
<sst xmlns="http://schemas.openxmlformats.org/spreadsheetml/2006/main" count="347" uniqueCount="184">
  <si>
    <t>m</t>
  </si>
  <si>
    <t>Salary</t>
  </si>
  <si>
    <t>Cut (%)</t>
  </si>
  <si>
    <t>b</t>
  </si>
  <si>
    <t>y (Salary)</t>
  </si>
  <si>
    <t>x (Tax %)</t>
  </si>
  <si>
    <t>Cut (E)</t>
  </si>
  <si>
    <t>y = mx + b</t>
  </si>
  <si>
    <t>m = ( y2 - y1 ) / ( x2 - x1 )</t>
  </si>
  <si>
    <t>b = y2- m x2</t>
  </si>
  <si>
    <t>y2-y1</t>
  </si>
  <si>
    <t>x2-x1</t>
  </si>
  <si>
    <t>CorteSalarioFuncaoPublica2014</t>
  </si>
  <si>
    <t>$$ Paulo Nunes</t>
  </si>
  <si>
    <t>$$ 1.1</t>
  </si>
  <si>
    <t xml:space="preserve">$$ </t>
  </si>
  <si>
    <t>$$ 4</t>
  </si>
  <si>
    <t>$$ 0</t>
  </si>
  <si>
    <t>$$ 3</t>
  </si>
  <si>
    <t>$$ 5</t>
  </si>
  <si>
    <t>$$ 2013-10-27</t>
  </si>
  <si>
    <t>$$ 1.0</t>
  </si>
  <si>
    <t>$$ v1 #Moeda #7.2 #0 #0 #0 #Vencimento com o corte mínimo #€  #&gt;=0 #&lt;= 99999.99 #</t>
  </si>
  <si>
    <t>$$ v2 #Moeda #7.2 #0 #0 #0 #Vencimento com o corte máximo #€  #&gt; v1 #&lt;= 99999.99 #</t>
  </si>
  <si>
    <t>$$ t1 #Real #4.2 #0 #0 #0 #Taxa do corte mínimo #% #&gt;=0 #&lt;= 99.99 #</t>
  </si>
  <si>
    <t>$$ t2 #Real #4.2 #0 #0 #0 #Taxa do corte máximo #% #&gt; t1 #&lt;= 99.99 #</t>
  </si>
  <si>
    <t>$$ v #Moeda #7.2 #0 #0 #0 #Vencimento # #&gt;= -999.99 #&lt;= 99999.99 #</t>
  </si>
  <si>
    <t>$$ 2</t>
  </si>
  <si>
    <t>$$ m #Real #8.4 #0 #0 #0 #Declive (coeficiente angular) # #&gt;= -9999.9999 #&lt;= 9999.9999 #</t>
  </si>
  <si>
    <t>$$ b #Inteiro #7.2 #0 #0 #0 #Coeficiente linear # #&gt;= -99999.99 #&lt;= 99999.99 #</t>
  </si>
  <si>
    <t>$$ Taxa #Real #6.4 #0 #0 #0 #Taxa de corte #% #&gt;= 0.0 #&lt;= 99.9999 #</t>
  </si>
  <si>
    <t>$$ Corte #Real #5.2 #0 #0 #0 #Valor dop corte #€  #&gt;= -999.99 #&lt;= 999.99 #</t>
  </si>
  <si>
    <t>$$ VC #Texto #20 #0 #0 #0 #Vencimento com o corte #€  #&gt;= 0.0 #&lt;= 99999.99 #</t>
  </si>
  <si>
    <t xml:space="preserve">  Corte &amp;#8592; v  × Taxa / 100</t>
  </si>
  <si>
    <t xml:space="preserve">  VC &amp;#8592; V - Corte</t>
  </si>
  <si>
    <t>$$ ##Permite calcular os cortes progressivos nos vencimentos dos funcionários públicos em % e valor. Calcula também o vencimento com o corte.##  SE V &lt; 600 ENTÃO</t>
  </si>
  <si>
    <t xml:space="preserve">     Taxa &amp;#8592; 0.0 </t>
  </si>
  <si>
    <t xml:space="preserve">  SENÃO</t>
  </si>
  <si>
    <t xml:space="preserve">    SE V &gt; 2000 ENTÃO</t>
  </si>
  <si>
    <t xml:space="preserve">      Taxa &amp;#8592; 0.0 </t>
  </si>
  <si>
    <t xml:space="preserve">    SENÃO</t>
  </si>
  <si>
    <t xml:space="preserve">      m &amp;#8592; (y2 - y1) / (x2 - x1)</t>
  </si>
  <si>
    <t xml:space="preserve">      b &amp;#8592; y2 - m × x2</t>
  </si>
  <si>
    <t xml:space="preserve">      Taxa &amp;#8592; (v - b) / m </t>
  </si>
  <si>
    <t xml:space="preserve">    FIMSE</t>
  </si>
  <si>
    <t xml:space="preserve">  FIMSE</t>
  </si>
  <si>
    <t>Passos</t>
  </si>
  <si>
    <t>Número</t>
  </si>
  <si>
    <t>Instruções</t>
  </si>
  <si>
    <t>Início:</t>
  </si>
  <si>
    <t xml:space="preserve">  FAZER</t>
  </si>
  <si>
    <t xml:space="preserve">    ESCREVER "Vencimento com o corte mínimo (€ )?"</t>
  </si>
  <si>
    <t xml:space="preserve">    LER v1</t>
  </si>
  <si>
    <t xml:space="preserve">  ATÉ ( (v1 &gt;=0) E (v1 &lt;= 99999.99) )</t>
  </si>
  <si>
    <t xml:space="preserve">    ESCREVER "Vencimento com o corte máximo (€ )?"</t>
  </si>
  <si>
    <t xml:space="preserve">    LER v2</t>
  </si>
  <si>
    <t xml:space="preserve">  ATÉ ( (v2 &gt; v1) E (v2 &lt;= 99999.99) )</t>
  </si>
  <si>
    <t xml:space="preserve">    ESCREVER "Taxa do corte mínimo (%)?"</t>
  </si>
  <si>
    <t xml:space="preserve">    LER t1</t>
  </si>
  <si>
    <t xml:space="preserve">  ATÉ ( (t1 &gt;=0) E (t1 &lt;= 99.99) )</t>
  </si>
  <si>
    <t xml:space="preserve">    ESCREVER "Taxa do corte máximo (%)?"</t>
  </si>
  <si>
    <t xml:space="preserve">    LER t2</t>
  </si>
  <si>
    <t xml:space="preserve">  ATÉ ( (t2 &gt; t1) E (t2 &lt;= 99.99) )</t>
  </si>
  <si>
    <t xml:space="preserve">    ESCREVER "Vencimento?"</t>
  </si>
  <si>
    <t xml:space="preserve">    LER v</t>
  </si>
  <si>
    <t xml:space="preserve">  ATÉ ( (v &gt;= -999.99) E (v &lt;= 99999.99) )</t>
  </si>
  <si>
    <t xml:space="preserve">  ESCREVER "Taxa de corte: ", Taxa, " %"</t>
  </si>
  <si>
    <t xml:space="preserve">  ESCREVER "Valor dop corte: ", Corte, " € "</t>
  </si>
  <si>
    <t xml:space="preserve">  ESCREVER "Vencimento com o corte: ", VC, " € "</t>
  </si>
  <si>
    <t>Fim.</t>
  </si>
  <si>
    <t xml:space="preserve">     Taxa ← 0.0 </t>
  </si>
  <si>
    <t xml:space="preserve">      Taxa ← 0.0 </t>
  </si>
  <si>
    <t xml:space="preserve">      m ← (y2 - y1) / (x2 - x1)</t>
  </si>
  <si>
    <t xml:space="preserve">      b ← y2 - m × x2</t>
  </si>
  <si>
    <t xml:space="preserve">      Taxa ← (v - b) / m </t>
  </si>
  <si>
    <t xml:space="preserve">  Corte ← v  × Taxa / 100</t>
  </si>
  <si>
    <t xml:space="preserve">  VC ← V - Corte</t>
  </si>
  <si>
    <t xml:space="preserve"> SE V &lt; 600 ENTÃO</t>
  </si>
  <si>
    <t>$$ E #Texto #30 #0 #0 #0 #Equação de corte # # # #</t>
  </si>
  <si>
    <t xml:space="preserve">  E &amp;#8592; "Taxa = (V - " + TEXTO(b) + ") / " + TEXTO(m) </t>
  </si>
  <si>
    <t>ESCREVER "Equação de corte: ", E</t>
  </si>
  <si>
    <t xml:space="preserve"> E ← "Taxa = (V - " + TEXTO(b) + ") / " + TEXTO(m) </t>
  </si>
  <si>
    <t>Tabela traçagem</t>
  </si>
  <si>
    <t>Passo</t>
  </si>
  <si>
    <t>v1</t>
  </si>
  <si>
    <t>v2</t>
  </si>
  <si>
    <t>t1</t>
  </si>
  <si>
    <t>t2</t>
  </si>
  <si>
    <t>v</t>
  </si>
  <si>
    <t>Taxa</t>
  </si>
  <si>
    <t>Corte</t>
  </si>
  <si>
    <t>VC</t>
  </si>
  <si>
    <t>E</t>
  </si>
  <si>
    <t>((v1 &gt;=0) E (v1 &lt;= 99999.99))</t>
  </si>
  <si>
    <t>((v2 &gt; v1) E (v2 &lt;= 99999.99))</t>
  </si>
  <si>
    <t>((t1 &gt;=0) E (t1 &lt;= 99.99))</t>
  </si>
  <si>
    <t>((t2 &gt; t1) E (t2 &lt;= 99.99))</t>
  </si>
  <si>
    <t>((v &gt;= -999.99) E (v &lt;= 99999.99))</t>
  </si>
  <si>
    <t>Passo(seg.)</t>
  </si>
  <si>
    <t>Saída (Ecrã)</t>
  </si>
  <si>
    <t>V</t>
  </si>
  <si>
    <t>Vencimento com o corte máximo (€ )?</t>
  </si>
  <si>
    <t>Vencimento com o corte mínimo (€ )?</t>
  </si>
  <si>
    <t>F</t>
  </si>
  <si>
    <t>Taxa do corte mínimo (%)?</t>
  </si>
  <si>
    <t>Taxa do corte máximo (%)?</t>
  </si>
  <si>
    <t>Vencimento?</t>
  </si>
  <si>
    <t>V &lt; 600</t>
  </si>
  <si>
    <t>V &gt; 2000</t>
  </si>
  <si>
    <t>Taxa de corte: 8,857 %</t>
  </si>
  <si>
    <t>Valor do corte:  159 €</t>
  </si>
  <si>
    <t xml:space="preserve">Vencimento com o corte:  1640,6  € </t>
  </si>
  <si>
    <t>n1</t>
  </si>
  <si>
    <t>d1</t>
  </si>
  <si>
    <t>n2</t>
  </si>
  <si>
    <t>d2</t>
  </si>
  <si>
    <t>n</t>
  </si>
  <si>
    <t>d</t>
  </si>
  <si>
    <t>n1 &gt;= 9999…</t>
  </si>
  <si>
    <t>Passp. Seg</t>
  </si>
  <si>
    <t>Ecrã</t>
  </si>
  <si>
    <t xml:space="preserve">  FAZER  </t>
  </si>
  <si>
    <t xml:space="preserve">       ESCREVER “Numerador da primeira fração ?”</t>
  </si>
  <si>
    <t xml:space="preserve">      </t>
  </si>
  <si>
    <t xml:space="preserve">        LER n1</t>
  </si>
  <si>
    <t xml:space="preserve">  ATÉ (n1&gt;=-999 e n1&lt;=999)</t>
  </si>
  <si>
    <t xml:space="preserve"> FAZER  </t>
  </si>
  <si>
    <t xml:space="preserve">       ESCREVER “Denominador da primeira fração ?”</t>
  </si>
  <si>
    <t xml:space="preserve">        LER d1</t>
  </si>
  <si>
    <t xml:space="preserve">  ATÉ (d1 ≠ 0) E d1&gt;=-999 e d1&lt;=999</t>
  </si>
  <si>
    <t xml:space="preserve"> LER n2, d2</t>
  </si>
  <si>
    <t>n = n1 x n2</t>
  </si>
  <si>
    <t>d = d1 x d2</t>
  </si>
  <si>
    <t>ESCREVER “numerador do produto das frações: ”, n</t>
  </si>
  <si>
    <t>ESCREVER “denominador do produto das frações: ”, d</t>
  </si>
  <si>
    <t>SE d &lt;&gt; 1 ENTÃO</t>
  </si>
  <si>
    <t>ESCREVER “  “, n</t>
  </si>
  <si>
    <t>ESCREVER “--------”</t>
  </si>
  <si>
    <t>ESCREVER “  ”, d</t>
  </si>
  <si>
    <t>SENÃO</t>
  </si>
  <si>
    <t xml:space="preserve">   ESCREVER n</t>
  </si>
  <si>
    <t>FIMSE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</si>
  <si>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</si>
  <si>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</si>
  <si>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</si>
  <si>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</si>
  <si>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</si>
  <si>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</si>
  <si>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</si>
  <si>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</si>
  <si>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</si>
  <si>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</si>
  <si>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</si>
  <si>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</si>
  <si>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</si>
  <si>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</si>
  <si>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</si>
  <si>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</si>
  <si>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</si>
  <si>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</si>
  <si>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</si>
  <si>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</si>
  <si>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</si>
  <si>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</si>
  <si>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Numerador da primeira fração ?</t>
  </si>
  <si>
    <t>Denominador da primeira fração ?</t>
  </si>
  <si>
    <t>O denominador ser diferente de ZERO!</t>
  </si>
  <si>
    <t>P00</t>
  </si>
  <si>
    <t xml:space="preserve">    ESCREVER "Desc0 (Uni0)?"</t>
  </si>
  <si>
    <t xml:space="preserve">    LER n1</t>
  </si>
  <si>
    <t xml:space="preserve">  ATÉ ( (n1 &gt;= Li0) E (n1 &lt;= Ls0) )</t>
  </si>
  <si>
    <t xml:space="preserve">    LER d1</t>
  </si>
  <si>
    <t xml:space="preserve">  ATÉ ( (d1 &gt;= Li0) E (d1 &lt;= Ls0) )</t>
  </si>
  <si>
    <t xml:space="preserve">    LER Entrada0</t>
  </si>
  <si>
    <t xml:space="preserve">  ATÉ ( (Entrada0 &gt;= Li0) E (Entrada0 &lt;= Ls0) )</t>
  </si>
  <si>
    <t xml:space="preserve">  coloque aqui o seu código de processamento   INSTRUÇÃO 1   INSTRUÇÃO 2   INSTRUÇÃO ...    INSTRUÇÃO N</t>
  </si>
  <si>
    <t xml:space="preserve">  ESCREVER "Desc0: ", Saida0, " Uni0"</t>
  </si>
  <si>
    <t>P23</t>
  </si>
  <si>
    <t>P24</t>
  </si>
  <si>
    <t xml:space="preserve">  coloque aqui o seu código de processamento &lt;br&gt;</t>
  </si>
  <si>
    <t xml:space="preserve">  INSTRUÇÃO 1  </t>
  </si>
  <si>
    <t xml:space="preserve">  INSTRUÇÃO 2  </t>
  </si>
  <si>
    <t xml:space="preserve">  INSTRUÇÃO ... </t>
  </si>
  <si>
    <t xml:space="preserve">  INSTRUÇÃO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</si>
</sst>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0.000"/>
  </numFmts>
  <fonts count="10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rgb="FFFF0000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sz val="32"/>
      <color rgb="FF4E3B30"/>
      <name val="Franklin Gothic Book"/>
    </font>
    <font>
      <sz val="30"/>
      <color rgb="FF4E3B30"/>
      <name val="Franklin Gothic Book"/>
    </font>
    <font>
      <sz val="8"/>
      <name val="Calibri"/>
      <family val="2"/>
      <charset val="129"/>
      <scheme val="minor"/>
    </font>
    <font>
      <b/>
      <sz val="14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textRotation="90"/>
    </xf>
    <xf numFmtId="0" fontId="9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4" xfId="0" applyBorder="1" applyAlignment="1">
      <alignment horizontal="left"/>
    </xf>
    <xf numFmtId="0" fontId="0" fillId="7" borderId="0" xfId="0" applyFill="1"/>
    <xf numFmtId="0" fontId="3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5" borderId="0" xfId="0" applyFill="1"/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textRotation="90"/>
    </xf>
    <xf numFmtId="0" fontId="0" fillId="0" borderId="5" xfId="0" applyBorder="1"/>
    <xf numFmtId="0" fontId="0" fillId="0" borderId="0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32">
    <cellStyle name="Hiperligação" xfId="2" builtinId="8" hidden="1"/>
    <cellStyle name="Hiperligação" xfId="4" builtinId="8" hidden="1"/>
    <cellStyle name="Hiperligação" xfId="6" builtinId="8" hidden="1"/>
    <cellStyle name="Hiperligação" xfId="8" builtinId="8" hidden="1"/>
    <cellStyle name="Hiperligação" xfId="10" builtinId="8" hidden="1"/>
    <cellStyle name="Hiperligação" xfId="12" builtinId="8" hidden="1"/>
    <cellStyle name="Hiperligação" xfId="14" builtinId="8" hidden="1"/>
    <cellStyle name="Hiperligação" xfId="16" builtinId="8" hidden="1"/>
    <cellStyle name="Hiperligação" xfId="18" builtinId="8" hidden="1"/>
    <cellStyle name="Hiperligação" xfId="20" builtinId="8" hidden="1"/>
    <cellStyle name="Hiperligação" xfId="22" builtinId="8" hidden="1"/>
    <cellStyle name="Hiperligação" xfId="24" builtinId="8" hidden="1"/>
    <cellStyle name="Hiperligação" xfId="26" builtinId="8" hidden="1"/>
    <cellStyle name="Hiperligação" xfId="28" builtinId="8" hidden="1"/>
    <cellStyle name="Hiperligação" xfId="30" builtinId="8" hidden="1"/>
    <cellStyle name="Hiperligação Visitada" xfId="3" builtinId="9" hidden="1"/>
    <cellStyle name="Hiperligação Visitada" xfId="5" builtinId="9" hidden="1"/>
    <cellStyle name="Hiperligação Visitada" xfId="7" builtinId="9" hidden="1"/>
    <cellStyle name="Hiperligação Visitada" xfId="9" builtinId="9" hidden="1"/>
    <cellStyle name="Hiperligação Visitada" xfId="11" builtinId="9" hidden="1"/>
    <cellStyle name="Hiperligação Visitada" xfId="13" builtinId="9" hidden="1"/>
    <cellStyle name="Hiperligação Visitada" xfId="15" builtinId="9" hidden="1"/>
    <cellStyle name="Hiperligação Visitada" xfId="17" builtinId="9" hidden="1"/>
    <cellStyle name="Hiperligação Visitada" xfId="19" builtinId="9" hidden="1"/>
    <cellStyle name="Hiperligação Visitada" xfId="21" builtinId="9" hidden="1"/>
    <cellStyle name="Hiperligação Visitada" xfId="23" builtinId="9" hidden="1"/>
    <cellStyle name="Hiperligação Visitada" xfId="25" builtinId="9" hidden="1"/>
    <cellStyle name="Hiperligação Visitada" xfId="27" builtinId="9" hidden="1"/>
    <cellStyle name="Hiperligação Visitada" xfId="29" builtinId="9" hidden="1"/>
    <cellStyle name="Hiperligação Visitada" xfId="31" builtinId="9" hidden="1"/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700499</xdr:colOff>
      <xdr:row>0</xdr:row>
      <xdr:rowOff>485775</xdr:rowOff>
    </xdr:from>
    <xdr:to>
      <xdr:col>17</xdr:col>
      <xdr:colOff>553670</xdr:colOff>
      <xdr:row>1</xdr:row>
      <xdr:rowOff>771525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2624" y="485775"/>
          <a:ext cx="4301346" cy="224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1"/>
  <sheetViews>
    <sheetView topLeftCell="A34" zoomScale="125" zoomScaleNormal="125" zoomScalePageLayoutView="125" workbookViewId="0">
      <selection activeCell="C39" sqref="C39"/>
    </sheetView>
  </sheetViews>
  <sheetFormatPr defaultColWidth="11" defaultRowHeight="15.75"/>
  <cols>
    <col min="4" max="4" width="8.875" customWidth="1"/>
    <col min="7" max="7" width="11.5" customWidth="1"/>
  </cols>
  <sheetData>
    <row r="2" spans="2:14" ht="39.75">
      <c r="B2" s="9" t="s">
        <v>7</v>
      </c>
    </row>
    <row r="3" spans="2:14" ht="37.5">
      <c r="B3" s="10" t="s">
        <v>8</v>
      </c>
    </row>
    <row r="4" spans="2:14" ht="37.5">
      <c r="B4" s="10" t="s">
        <v>9</v>
      </c>
    </row>
    <row r="5" spans="2:14" ht="37.5">
      <c r="B5" s="10"/>
    </row>
    <row r="6" spans="2:14">
      <c r="B6" t="s">
        <v>1</v>
      </c>
      <c r="C6" t="s">
        <v>2</v>
      </c>
      <c r="E6" s="7" t="s">
        <v>4</v>
      </c>
      <c r="F6" s="7" t="s">
        <v>5</v>
      </c>
      <c r="G6" s="8" t="s">
        <v>6</v>
      </c>
      <c r="I6" t="s">
        <v>1</v>
      </c>
      <c r="J6" t="s">
        <v>2</v>
      </c>
      <c r="L6" s="7" t="s">
        <v>4</v>
      </c>
      <c r="M6" s="7" t="s">
        <v>5</v>
      </c>
      <c r="N6" s="8" t="s">
        <v>6</v>
      </c>
    </row>
    <row r="7" spans="2:14">
      <c r="B7">
        <v>1800</v>
      </c>
      <c r="C7">
        <v>16</v>
      </c>
      <c r="E7" s="4">
        <v>1000</v>
      </c>
      <c r="F7" s="4">
        <v>0</v>
      </c>
      <c r="G7" s="5">
        <f>E7*F7/100</f>
        <v>0</v>
      </c>
      <c r="I7">
        <v>2000</v>
      </c>
      <c r="J7">
        <v>12</v>
      </c>
      <c r="L7" s="4">
        <v>400</v>
      </c>
      <c r="M7" s="4">
        <v>0</v>
      </c>
      <c r="N7" s="5">
        <f>L7*M7/100</f>
        <v>0</v>
      </c>
    </row>
    <row r="8" spans="2:14">
      <c r="B8">
        <v>1350</v>
      </c>
      <c r="C8">
        <v>0</v>
      </c>
      <c r="E8" s="4">
        <v>1100</v>
      </c>
      <c r="F8" s="4">
        <v>0</v>
      </c>
      <c r="G8" s="5">
        <f t="shared" ref="G8:G30" si="0">E8*F8/100</f>
        <v>0</v>
      </c>
      <c r="I8">
        <v>600</v>
      </c>
      <c r="J8">
        <v>3.5</v>
      </c>
      <c r="L8" s="4">
        <v>500</v>
      </c>
      <c r="M8" s="4">
        <v>0</v>
      </c>
      <c r="N8" s="5">
        <f t="shared" ref="N8:N30" si="1">L8*M8/100</f>
        <v>0</v>
      </c>
    </row>
    <row r="9" spans="2:14">
      <c r="B9" t="s">
        <v>10</v>
      </c>
      <c r="C9" t="s">
        <v>11</v>
      </c>
      <c r="E9" s="4">
        <v>1200</v>
      </c>
      <c r="F9" s="4">
        <f>0</f>
        <v>0</v>
      </c>
      <c r="G9" s="5">
        <f t="shared" si="0"/>
        <v>0</v>
      </c>
      <c r="I9" t="s">
        <v>10</v>
      </c>
      <c r="J9" t="s">
        <v>11</v>
      </c>
      <c r="L9" s="4">
        <v>599</v>
      </c>
      <c r="M9" s="4">
        <f>0</f>
        <v>0</v>
      </c>
      <c r="N9" s="5">
        <f t="shared" si="1"/>
        <v>0</v>
      </c>
    </row>
    <row r="10" spans="2:14">
      <c r="B10">
        <f>B7-B8</f>
        <v>450</v>
      </c>
      <c r="C10">
        <f>C7-C8</f>
        <v>16</v>
      </c>
      <c r="E10" s="4">
        <v>1350</v>
      </c>
      <c r="F10" s="6">
        <f>ROUND((E10-$C$12)/$C$11,4)</f>
        <v>0</v>
      </c>
      <c r="G10" s="5">
        <f t="shared" si="0"/>
        <v>0</v>
      </c>
      <c r="I10">
        <f>I7-I8</f>
        <v>1400</v>
      </c>
      <c r="J10">
        <f>J7-J8</f>
        <v>8.5</v>
      </c>
      <c r="L10" s="4">
        <v>600</v>
      </c>
      <c r="M10" s="6">
        <f>ROUND((L10-$J$12)/$J$11,4)</f>
        <v>3.5</v>
      </c>
      <c r="N10" s="5">
        <f t="shared" si="1"/>
        <v>21</v>
      </c>
    </row>
    <row r="11" spans="2:14">
      <c r="B11" t="s">
        <v>0</v>
      </c>
      <c r="C11">
        <f>ROUND(B10/C10,4)</f>
        <v>28.125</v>
      </c>
      <c r="E11" s="4">
        <v>1500</v>
      </c>
      <c r="F11" s="6">
        <f t="shared" ref="F11:F25" si="2">ROUND((E11-$C$12)/$C$11,4)</f>
        <v>5.3333000000000004</v>
      </c>
      <c r="G11" s="5">
        <f t="shared" si="0"/>
        <v>79.999500000000012</v>
      </c>
      <c r="I11" t="s">
        <v>0</v>
      </c>
      <c r="J11">
        <f>ROUND(I10/J10,4)</f>
        <v>164.70590000000001</v>
      </c>
      <c r="L11" s="4">
        <v>2000</v>
      </c>
      <c r="M11" s="6">
        <f t="shared" ref="M11:M25" si="3">ROUND((L11-$J$12)/$J$11,4)</f>
        <v>12</v>
      </c>
      <c r="N11" s="5">
        <f t="shared" si="1"/>
        <v>240</v>
      </c>
    </row>
    <row r="12" spans="2:14">
      <c r="B12" t="s">
        <v>3</v>
      </c>
      <c r="C12">
        <f>ROUND(B7-C11*C7,4)</f>
        <v>1350</v>
      </c>
      <c r="E12" s="4">
        <v>1600</v>
      </c>
      <c r="F12" s="6">
        <f t="shared" si="2"/>
        <v>8.8888999999999996</v>
      </c>
      <c r="G12" s="5">
        <f t="shared" si="0"/>
        <v>142.22239999999999</v>
      </c>
      <c r="I12" t="s">
        <v>3</v>
      </c>
      <c r="J12">
        <f>ROUND(I7-J11*J7,4)</f>
        <v>23.529199999999999</v>
      </c>
      <c r="L12" s="4">
        <v>700</v>
      </c>
      <c r="M12" s="6">
        <f t="shared" si="3"/>
        <v>4.1071</v>
      </c>
      <c r="N12" s="5">
        <f t="shared" si="1"/>
        <v>28.749699999999997</v>
      </c>
    </row>
    <row r="13" spans="2:14">
      <c r="E13" s="4">
        <v>1700</v>
      </c>
      <c r="F13" s="6">
        <f t="shared" si="2"/>
        <v>12.4444</v>
      </c>
      <c r="G13" s="5">
        <f t="shared" si="0"/>
        <v>211.5548</v>
      </c>
      <c r="L13" s="4">
        <v>800</v>
      </c>
      <c r="M13" s="6">
        <f t="shared" si="3"/>
        <v>4.7142999999999997</v>
      </c>
      <c r="N13" s="5">
        <f t="shared" si="1"/>
        <v>37.714399999999998</v>
      </c>
    </row>
    <row r="14" spans="2:14">
      <c r="E14" s="4">
        <v>1800</v>
      </c>
      <c r="F14" s="6">
        <f t="shared" si="2"/>
        <v>16</v>
      </c>
      <c r="G14" s="5">
        <f t="shared" si="0"/>
        <v>288</v>
      </c>
      <c r="L14" s="4">
        <v>900</v>
      </c>
      <c r="M14" s="6">
        <f t="shared" si="3"/>
        <v>5.3213999999999997</v>
      </c>
      <c r="N14" s="5">
        <f t="shared" si="1"/>
        <v>47.892599999999995</v>
      </c>
    </row>
    <row r="15" spans="2:14">
      <c r="B15" t="str">
        <f>"y=" &amp;C11&amp;" X + " &amp;C12</f>
        <v>y=28,125 X + 1350</v>
      </c>
      <c r="E15" s="4">
        <v>1900</v>
      </c>
      <c r="F15" s="6">
        <f t="shared" si="2"/>
        <v>19.555599999999998</v>
      </c>
      <c r="G15" s="5">
        <f t="shared" si="0"/>
        <v>371.5564</v>
      </c>
      <c r="I15" t="str">
        <f>"y=" &amp;J11&amp;" X + " &amp;J12</f>
        <v>y=164,7059 X + 23,5292</v>
      </c>
      <c r="L15" s="4">
        <v>1000</v>
      </c>
      <c r="M15" s="6">
        <f t="shared" si="3"/>
        <v>5.9286000000000003</v>
      </c>
      <c r="N15" s="5">
        <f t="shared" si="1"/>
        <v>59.286000000000001</v>
      </c>
    </row>
    <row r="16" spans="2:14">
      <c r="E16" s="4">
        <v>2000</v>
      </c>
      <c r="F16" s="6">
        <f t="shared" si="2"/>
        <v>23.1111</v>
      </c>
      <c r="G16" s="5">
        <f t="shared" si="0"/>
        <v>462.22200000000004</v>
      </c>
      <c r="L16" s="4">
        <v>1100</v>
      </c>
      <c r="M16" s="6">
        <f t="shared" si="3"/>
        <v>6.5357000000000003</v>
      </c>
      <c r="N16" s="5">
        <f t="shared" si="1"/>
        <v>71.892700000000005</v>
      </c>
    </row>
    <row r="17" spans="2:14">
      <c r="B17" t="str">
        <f>"x = (y - " &amp; C12 &amp; ") / " &amp; C11</f>
        <v>x = (y - 1350) / 28,125</v>
      </c>
      <c r="E17" s="4">
        <v>2100</v>
      </c>
      <c r="F17" s="6">
        <f t="shared" si="2"/>
        <v>26.666699999999999</v>
      </c>
      <c r="G17" s="5">
        <f t="shared" si="0"/>
        <v>560.00070000000005</v>
      </c>
      <c r="I17" t="str">
        <f>"x = (y - " &amp; J12 &amp; ") / " &amp; J11</f>
        <v>x = (y - 23,5292) / 164,7059</v>
      </c>
      <c r="L17" s="4">
        <v>1200</v>
      </c>
      <c r="M17" s="6">
        <f t="shared" si="3"/>
        <v>7.1429</v>
      </c>
      <c r="N17" s="5">
        <f t="shared" si="1"/>
        <v>85.714799999999997</v>
      </c>
    </row>
    <row r="18" spans="2:14">
      <c r="E18" s="4">
        <v>2200</v>
      </c>
      <c r="F18" s="6">
        <f t="shared" si="2"/>
        <v>30.222200000000001</v>
      </c>
      <c r="G18" s="5">
        <f t="shared" si="0"/>
        <v>664.88839999999993</v>
      </c>
      <c r="L18" s="4">
        <v>1300</v>
      </c>
      <c r="M18" s="6">
        <f t="shared" si="3"/>
        <v>7.75</v>
      </c>
      <c r="N18" s="5">
        <f t="shared" si="1"/>
        <v>100.75</v>
      </c>
    </row>
    <row r="19" spans="2:14">
      <c r="E19" s="4">
        <v>2300</v>
      </c>
      <c r="F19" s="6">
        <f t="shared" si="2"/>
        <v>33.777799999999999</v>
      </c>
      <c r="G19" s="5">
        <f t="shared" si="0"/>
        <v>776.88940000000002</v>
      </c>
      <c r="L19" s="4">
        <v>1400</v>
      </c>
      <c r="M19" s="6">
        <f t="shared" si="3"/>
        <v>8.3571000000000009</v>
      </c>
      <c r="N19" s="5">
        <f t="shared" si="1"/>
        <v>116.99940000000001</v>
      </c>
    </row>
    <row r="20" spans="2:14">
      <c r="E20" s="4">
        <v>2400</v>
      </c>
      <c r="F20" s="6">
        <f t="shared" si="2"/>
        <v>37.333300000000001</v>
      </c>
      <c r="G20" s="5">
        <f t="shared" si="0"/>
        <v>895.99919999999997</v>
      </c>
      <c r="L20" s="4">
        <v>1500</v>
      </c>
      <c r="M20" s="6">
        <f t="shared" si="3"/>
        <v>8.9642999999999997</v>
      </c>
      <c r="N20" s="5">
        <f t="shared" si="1"/>
        <v>134.46449999999999</v>
      </c>
    </row>
    <row r="21" spans="2:14">
      <c r="E21" s="4">
        <v>2500</v>
      </c>
      <c r="F21" s="6">
        <f t="shared" si="2"/>
        <v>40.8889</v>
      </c>
      <c r="G21" s="5">
        <f t="shared" si="0"/>
        <v>1022.2225</v>
      </c>
      <c r="L21" s="4">
        <v>1600</v>
      </c>
      <c r="M21" s="6">
        <f t="shared" si="3"/>
        <v>9.5714000000000006</v>
      </c>
      <c r="N21" s="5">
        <f t="shared" si="1"/>
        <v>153.14240000000001</v>
      </c>
    </row>
    <row r="22" spans="2:14">
      <c r="E22" s="4">
        <v>2600</v>
      </c>
      <c r="F22" s="6">
        <f t="shared" si="2"/>
        <v>44.444400000000002</v>
      </c>
      <c r="G22" s="5">
        <f t="shared" si="0"/>
        <v>1155.5544</v>
      </c>
      <c r="L22" s="4">
        <v>1700</v>
      </c>
      <c r="M22" s="6">
        <f t="shared" si="3"/>
        <v>10.178599999999999</v>
      </c>
      <c r="N22" s="5">
        <f t="shared" si="1"/>
        <v>173.03619999999998</v>
      </c>
    </row>
    <row r="23" spans="2:14">
      <c r="E23" s="4">
        <v>2700</v>
      </c>
      <c r="F23" s="6">
        <f t="shared" si="2"/>
        <v>48</v>
      </c>
      <c r="G23" s="5">
        <f t="shared" si="0"/>
        <v>1296</v>
      </c>
      <c r="L23" s="4">
        <v>1800</v>
      </c>
      <c r="M23" s="6">
        <f t="shared" si="3"/>
        <v>10.7857</v>
      </c>
      <c r="N23" s="5">
        <f t="shared" si="1"/>
        <v>194.14260000000002</v>
      </c>
    </row>
    <row r="24" spans="2:14">
      <c r="E24" s="4">
        <v>2800</v>
      </c>
      <c r="F24" s="6">
        <f t="shared" si="2"/>
        <v>51.555599999999998</v>
      </c>
      <c r="G24" s="5">
        <f t="shared" si="0"/>
        <v>1443.5567999999998</v>
      </c>
      <c r="L24" s="4">
        <v>1900</v>
      </c>
      <c r="M24" s="6">
        <f t="shared" si="3"/>
        <v>11.392899999999999</v>
      </c>
      <c r="N24" s="5">
        <f t="shared" si="1"/>
        <v>216.46509999999998</v>
      </c>
    </row>
    <row r="25" spans="2:14">
      <c r="E25" s="4">
        <v>2900</v>
      </c>
      <c r="F25" s="6">
        <f t="shared" si="2"/>
        <v>55.1111</v>
      </c>
      <c r="G25" s="5">
        <f t="shared" si="0"/>
        <v>1598.2219</v>
      </c>
      <c r="L25" s="4">
        <v>2000</v>
      </c>
      <c r="M25" s="6">
        <f t="shared" si="3"/>
        <v>12</v>
      </c>
      <c r="N25" s="5">
        <f t="shared" si="1"/>
        <v>240</v>
      </c>
    </row>
    <row r="26" spans="2:14">
      <c r="E26" s="4">
        <v>3000</v>
      </c>
      <c r="F26" s="6">
        <v>12</v>
      </c>
      <c r="G26" s="5">
        <f t="shared" si="0"/>
        <v>360</v>
      </c>
      <c r="L26" s="4">
        <v>2500</v>
      </c>
      <c r="M26" s="6">
        <v>12</v>
      </c>
      <c r="N26" s="5">
        <f t="shared" si="1"/>
        <v>300</v>
      </c>
    </row>
    <row r="27" spans="2:14">
      <c r="E27" s="4">
        <v>3500</v>
      </c>
      <c r="F27" s="6">
        <v>12</v>
      </c>
      <c r="G27" s="5">
        <f t="shared" si="0"/>
        <v>420</v>
      </c>
      <c r="L27" s="4">
        <v>3000</v>
      </c>
      <c r="M27" s="6">
        <v>12</v>
      </c>
      <c r="N27" s="5">
        <f t="shared" si="1"/>
        <v>360</v>
      </c>
    </row>
    <row r="28" spans="2:14">
      <c r="E28" s="4">
        <v>4000</v>
      </c>
      <c r="F28" s="6">
        <v>12</v>
      </c>
      <c r="G28" s="5">
        <f t="shared" si="0"/>
        <v>480</v>
      </c>
      <c r="L28" s="4">
        <v>3500</v>
      </c>
      <c r="M28" s="6">
        <v>12</v>
      </c>
      <c r="N28" s="5">
        <f t="shared" si="1"/>
        <v>420</v>
      </c>
    </row>
    <row r="29" spans="2:14">
      <c r="E29" s="4">
        <v>5000</v>
      </c>
      <c r="F29" s="6">
        <v>12</v>
      </c>
      <c r="G29" s="5">
        <f t="shared" si="0"/>
        <v>600</v>
      </c>
      <c r="L29" s="4">
        <v>4000</v>
      </c>
      <c r="M29" s="6">
        <v>12</v>
      </c>
      <c r="N29" s="5">
        <f t="shared" si="1"/>
        <v>480</v>
      </c>
    </row>
    <row r="30" spans="2:14">
      <c r="E30" s="4">
        <v>10000</v>
      </c>
      <c r="F30" s="6">
        <v>12</v>
      </c>
      <c r="G30" s="5">
        <f t="shared" si="0"/>
        <v>1200</v>
      </c>
      <c r="L30" s="4">
        <v>5000</v>
      </c>
      <c r="M30" s="6">
        <v>12</v>
      </c>
      <c r="N30" s="5">
        <f t="shared" si="1"/>
        <v>600</v>
      </c>
    </row>
    <row r="43" spans="2:3">
      <c r="B43" t="s">
        <v>12</v>
      </c>
    </row>
    <row r="44" spans="2:3">
      <c r="B44" t="s">
        <v>20</v>
      </c>
      <c r="C44" s="1"/>
    </row>
    <row r="45" spans="2:3">
      <c r="B45" t="s">
        <v>13</v>
      </c>
      <c r="C45" s="1"/>
    </row>
    <row r="46" spans="2:3">
      <c r="B46" t="s">
        <v>21</v>
      </c>
      <c r="C46" s="1"/>
    </row>
    <row r="47" spans="2:3">
      <c r="B47" t="s">
        <v>15</v>
      </c>
    </row>
    <row r="48" spans="2:3">
      <c r="B48" t="s">
        <v>17</v>
      </c>
    </row>
    <row r="49" spans="2:2">
      <c r="B49" t="s">
        <v>19</v>
      </c>
    </row>
    <row r="50" spans="2:2">
      <c r="B50" t="s">
        <v>22</v>
      </c>
    </row>
    <row r="51" spans="2:2">
      <c r="B51" t="s">
        <v>23</v>
      </c>
    </row>
    <row r="52" spans="2:2">
      <c r="B52" t="s">
        <v>24</v>
      </c>
    </row>
    <row r="53" spans="2:2">
      <c r="B53" t="s">
        <v>25</v>
      </c>
    </row>
    <row r="54" spans="2:2">
      <c r="B54" t="s">
        <v>26</v>
      </c>
    </row>
    <row r="55" spans="2:2">
      <c r="B55" t="s">
        <v>27</v>
      </c>
    </row>
    <row r="56" spans="2:2">
      <c r="B56" t="s">
        <v>28</v>
      </c>
    </row>
    <row r="57" spans="2:2">
      <c r="B57" t="s">
        <v>29</v>
      </c>
    </row>
    <row r="58" spans="2:2">
      <c r="B58" t="s">
        <v>18</v>
      </c>
    </row>
    <row r="59" spans="2:2">
      <c r="B59" t="s">
        <v>30</v>
      </c>
    </row>
    <row r="60" spans="2:2">
      <c r="B60" t="s">
        <v>31</v>
      </c>
    </row>
    <row r="61" spans="2:2">
      <c r="B61" t="s">
        <v>32</v>
      </c>
    </row>
    <row r="62" spans="2:2">
      <c r="B62" t="s">
        <v>35</v>
      </c>
    </row>
    <row r="63" spans="2:2">
      <c r="B63" t="s">
        <v>36</v>
      </c>
    </row>
    <row r="64" spans="2:2">
      <c r="B64" t="s">
        <v>37</v>
      </c>
    </row>
    <row r="65" spans="2:2">
      <c r="B65" t="s">
        <v>38</v>
      </c>
    </row>
    <row r="66" spans="2:2">
      <c r="B66" t="s">
        <v>39</v>
      </c>
    </row>
    <row r="67" spans="2:2">
      <c r="B67" t="s">
        <v>40</v>
      </c>
    </row>
    <row r="68" spans="2:2">
      <c r="B68" t="s">
        <v>41</v>
      </c>
    </row>
    <row r="69" spans="2:2">
      <c r="B69" t="s">
        <v>42</v>
      </c>
    </row>
    <row r="70" spans="2:2">
      <c r="B70" t="s">
        <v>43</v>
      </c>
    </row>
    <row r="71" spans="2:2">
      <c r="B71" t="s">
        <v>44</v>
      </c>
    </row>
    <row r="72" spans="2:2">
      <c r="B72" t="s">
        <v>45</v>
      </c>
    </row>
    <row r="73" spans="2:2">
      <c r="B73" t="s">
        <v>33</v>
      </c>
    </row>
    <row r="74" spans="2:2">
      <c r="B74" t="s">
        <v>34</v>
      </c>
    </row>
    <row r="78" spans="2:2">
      <c r="B78" t="s">
        <v>12</v>
      </c>
    </row>
    <row r="79" spans="2:2">
      <c r="B79" t="s">
        <v>20</v>
      </c>
    </row>
    <row r="80" spans="2:2">
      <c r="B80" t="s">
        <v>13</v>
      </c>
    </row>
    <row r="81" spans="2:2">
      <c r="B81" s="12" t="s">
        <v>14</v>
      </c>
    </row>
    <row r="82" spans="2:2">
      <c r="B82" t="s">
        <v>15</v>
      </c>
    </row>
    <row r="83" spans="2:2">
      <c r="B83" t="s">
        <v>17</v>
      </c>
    </row>
    <row r="84" spans="2:2">
      <c r="B84" t="s">
        <v>19</v>
      </c>
    </row>
    <row r="85" spans="2:2">
      <c r="B85" t="s">
        <v>22</v>
      </c>
    </row>
    <row r="86" spans="2:2">
      <c r="B86" t="s">
        <v>23</v>
      </c>
    </row>
    <row r="87" spans="2:2">
      <c r="B87" t="s">
        <v>24</v>
      </c>
    </row>
    <row r="88" spans="2:2">
      <c r="B88" t="s">
        <v>25</v>
      </c>
    </row>
    <row r="89" spans="2:2">
      <c r="B89" t="s">
        <v>26</v>
      </c>
    </row>
    <row r="90" spans="2:2">
      <c r="B90" t="s">
        <v>27</v>
      </c>
    </row>
    <row r="91" spans="2:2">
      <c r="B91" t="s">
        <v>28</v>
      </c>
    </row>
    <row r="92" spans="2:2">
      <c r="B92" t="s">
        <v>29</v>
      </c>
    </row>
    <row r="93" spans="2:2">
      <c r="B93" t="s">
        <v>16</v>
      </c>
    </row>
    <row r="94" spans="2:2">
      <c r="B94" t="s">
        <v>30</v>
      </c>
    </row>
    <row r="95" spans="2:2">
      <c r="B95" t="s">
        <v>31</v>
      </c>
    </row>
    <row r="96" spans="2:2">
      <c r="B96" t="s">
        <v>32</v>
      </c>
    </row>
    <row r="97" spans="2:2">
      <c r="B97" t="s">
        <v>78</v>
      </c>
    </row>
    <row r="98" spans="2:2">
      <c r="B98" t="s">
        <v>35</v>
      </c>
    </row>
    <row r="99" spans="2:2">
      <c r="B99" t="s">
        <v>36</v>
      </c>
    </row>
    <row r="100" spans="2:2">
      <c r="B100" t="s">
        <v>37</v>
      </c>
    </row>
    <row r="101" spans="2:2">
      <c r="B101" t="s">
        <v>38</v>
      </c>
    </row>
    <row r="102" spans="2:2">
      <c r="B102" t="s">
        <v>39</v>
      </c>
    </row>
    <row r="103" spans="2:2">
      <c r="B103" t="s">
        <v>40</v>
      </c>
    </row>
    <row r="104" spans="2:2">
      <c r="B104" t="s">
        <v>41</v>
      </c>
    </row>
    <row r="105" spans="2:2">
      <c r="B105" t="s">
        <v>42</v>
      </c>
    </row>
    <row r="106" spans="2:2">
      <c r="B106" t="s">
        <v>43</v>
      </c>
    </row>
    <row r="107" spans="2:2">
      <c r="B107" t="s">
        <v>44</v>
      </c>
    </row>
    <row r="108" spans="2:2">
      <c r="B108" t="s">
        <v>45</v>
      </c>
    </row>
    <row r="109" spans="2:2">
      <c r="B109" t="s">
        <v>33</v>
      </c>
    </row>
    <row r="110" spans="2:2">
      <c r="B110" t="s">
        <v>34</v>
      </c>
    </row>
    <row r="111" spans="2:2">
      <c r="B111" t="s">
        <v>79</v>
      </c>
    </row>
  </sheetData>
  <phoneticPr fontId="8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Views>
    <sheetView workbookViewId="0">
      <selection sqref="A1:XFD1"/>
    </sheetView>
  </sheetViews>
  <sheetFormatPr defaultColWidth="11" defaultRowHeight="15.75"/>
  <cols>
    <col min="1" max="1" width="7.5" customWidth="1"/>
    <col min="2" max="2" width="9.625" style="2" customWidth="1"/>
    <col min="3" max="3" width="55.125" customWidth="1"/>
  </cols>
  <sheetData>
    <row r="2" spans="2:3" ht="18.75">
      <c r="B2" s="19" t="s">
        <v>46</v>
      </c>
      <c r="C2" s="19"/>
    </row>
    <row r="3" spans="2:3">
      <c r="B3" s="7" t="s">
        <v>47</v>
      </c>
      <c r="C3" s="11" t="s">
        <v>48</v>
      </c>
    </row>
    <row r="4" spans="2:3">
      <c r="B4" s="3">
        <v>1</v>
      </c>
      <c r="C4" s="4" t="s">
        <v>49</v>
      </c>
    </row>
    <row r="5" spans="2:3">
      <c r="B5" s="3">
        <v>2</v>
      </c>
      <c r="C5" s="4" t="s">
        <v>50</v>
      </c>
    </row>
    <row r="6" spans="2:3">
      <c r="B6" s="3">
        <v>3</v>
      </c>
      <c r="C6" s="4" t="s">
        <v>51</v>
      </c>
    </row>
    <row r="7" spans="2:3">
      <c r="B7" s="3">
        <v>4</v>
      </c>
      <c r="C7" s="4" t="s">
        <v>52</v>
      </c>
    </row>
    <row r="8" spans="2:3">
      <c r="B8" s="3">
        <v>5</v>
      </c>
      <c r="C8" s="4" t="s">
        <v>53</v>
      </c>
    </row>
    <row r="9" spans="2:3">
      <c r="B9" s="3">
        <v>6</v>
      </c>
      <c r="C9" s="4" t="s">
        <v>50</v>
      </c>
    </row>
    <row r="10" spans="2:3">
      <c r="B10" s="3">
        <v>7</v>
      </c>
      <c r="C10" s="4" t="s">
        <v>54</v>
      </c>
    </row>
    <row r="11" spans="2:3">
      <c r="B11" s="3">
        <v>8</v>
      </c>
      <c r="C11" s="4" t="s">
        <v>55</v>
      </c>
    </row>
    <row r="12" spans="2:3">
      <c r="B12" s="3">
        <v>9</v>
      </c>
      <c r="C12" s="4" t="s">
        <v>56</v>
      </c>
    </row>
    <row r="13" spans="2:3">
      <c r="B13" s="3">
        <v>10</v>
      </c>
      <c r="C13" s="4" t="s">
        <v>50</v>
      </c>
    </row>
    <row r="14" spans="2:3">
      <c r="B14" s="3">
        <v>11</v>
      </c>
      <c r="C14" s="4" t="s">
        <v>57</v>
      </c>
    </row>
    <row r="15" spans="2:3">
      <c r="B15" s="3">
        <v>12</v>
      </c>
      <c r="C15" s="4" t="s">
        <v>58</v>
      </c>
    </row>
    <row r="16" spans="2:3">
      <c r="B16" s="3">
        <v>13</v>
      </c>
      <c r="C16" s="4" t="s">
        <v>59</v>
      </c>
    </row>
    <row r="17" spans="2:3">
      <c r="B17" s="3">
        <v>14</v>
      </c>
      <c r="C17" s="4" t="s">
        <v>50</v>
      </c>
    </row>
    <row r="18" spans="2:3">
      <c r="B18" s="3">
        <v>15</v>
      </c>
      <c r="C18" s="4" t="s">
        <v>60</v>
      </c>
    </row>
    <row r="19" spans="2:3">
      <c r="B19" s="3">
        <v>16</v>
      </c>
      <c r="C19" s="4" t="s">
        <v>61</v>
      </c>
    </row>
    <row r="20" spans="2:3">
      <c r="B20" s="3">
        <v>17</v>
      </c>
      <c r="C20" s="4" t="s">
        <v>62</v>
      </c>
    </row>
    <row r="21" spans="2:3">
      <c r="B21" s="3">
        <v>18</v>
      </c>
      <c r="C21" s="4" t="s">
        <v>50</v>
      </c>
    </row>
    <row r="22" spans="2:3">
      <c r="B22" s="3">
        <v>19</v>
      </c>
      <c r="C22" s="4" t="s">
        <v>63</v>
      </c>
    </row>
    <row r="23" spans="2:3">
      <c r="B23" s="3">
        <v>20</v>
      </c>
      <c r="C23" s="4" t="s">
        <v>64</v>
      </c>
    </row>
    <row r="24" spans="2:3">
      <c r="B24" s="3">
        <v>21</v>
      </c>
      <c r="C24" s="4" t="s">
        <v>65</v>
      </c>
    </row>
    <row r="25" spans="2:3">
      <c r="B25" s="3">
        <v>22</v>
      </c>
      <c r="C25" s="4" t="s">
        <v>77</v>
      </c>
    </row>
    <row r="26" spans="2:3">
      <c r="B26" s="3">
        <v>23</v>
      </c>
      <c r="C26" s="4" t="s">
        <v>70</v>
      </c>
    </row>
    <row r="27" spans="2:3">
      <c r="B27" s="3">
        <v>24</v>
      </c>
      <c r="C27" s="4" t="s">
        <v>37</v>
      </c>
    </row>
    <row r="28" spans="2:3">
      <c r="B28" s="3">
        <v>25</v>
      </c>
      <c r="C28" s="4" t="s">
        <v>38</v>
      </c>
    </row>
    <row r="29" spans="2:3">
      <c r="B29" s="3">
        <v>26</v>
      </c>
      <c r="C29" s="4" t="s">
        <v>71</v>
      </c>
    </row>
    <row r="30" spans="2:3">
      <c r="B30" s="3">
        <v>27</v>
      </c>
      <c r="C30" s="4" t="s">
        <v>40</v>
      </c>
    </row>
    <row r="31" spans="2:3">
      <c r="B31" s="3">
        <v>28</v>
      </c>
      <c r="C31" s="4" t="s">
        <v>72</v>
      </c>
    </row>
    <row r="32" spans="2:3">
      <c r="B32" s="3">
        <v>29</v>
      </c>
      <c r="C32" s="4" t="s">
        <v>73</v>
      </c>
    </row>
    <row r="33" spans="2:3">
      <c r="B33" s="3">
        <v>30</v>
      </c>
      <c r="C33" s="4" t="s">
        <v>74</v>
      </c>
    </row>
    <row r="34" spans="2:3">
      <c r="B34" s="3">
        <v>31</v>
      </c>
      <c r="C34" s="4" t="s">
        <v>44</v>
      </c>
    </row>
    <row r="35" spans="2:3">
      <c r="B35" s="3">
        <v>32</v>
      </c>
      <c r="C35" s="4" t="s">
        <v>45</v>
      </c>
    </row>
    <row r="36" spans="2:3">
      <c r="B36" s="3">
        <v>33</v>
      </c>
      <c r="C36" s="4" t="s">
        <v>75</v>
      </c>
    </row>
    <row r="37" spans="2:3">
      <c r="B37" s="3">
        <v>34</v>
      </c>
      <c r="C37" s="4" t="s">
        <v>76</v>
      </c>
    </row>
    <row r="38" spans="2:3">
      <c r="B38" s="3">
        <v>35</v>
      </c>
      <c r="C38" s="4" t="s">
        <v>66</v>
      </c>
    </row>
    <row r="39" spans="2:3">
      <c r="B39" s="3">
        <v>36</v>
      </c>
      <c r="C39" s="4" t="s">
        <v>67</v>
      </c>
    </row>
    <row r="40" spans="2:3">
      <c r="B40" s="3">
        <v>37</v>
      </c>
      <c r="C40" s="4" t="s">
        <v>68</v>
      </c>
    </row>
    <row r="41" spans="2:3">
      <c r="B41" s="3">
        <v>38</v>
      </c>
      <c r="C41" s="4" t="s">
        <v>69</v>
      </c>
    </row>
  </sheetData>
  <mergeCells count="1">
    <mergeCell ref="B2:C2"/>
  </mergeCells>
  <phoneticPr fontId="8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X45"/>
  <sheetViews>
    <sheetView workbookViewId="0">
      <selection activeCell="D46" sqref="D46"/>
    </sheetView>
  </sheetViews>
  <sheetFormatPr defaultColWidth="11" defaultRowHeight="15.75"/>
  <cols>
    <col min="1" max="1" width="7.5" customWidth="1"/>
    <col min="2" max="2" width="9.625" style="2" customWidth="1"/>
    <col min="3" max="3" width="55.125" customWidth="1"/>
    <col min="7" max="13" width="3.875" customWidth="1"/>
    <col min="14" max="22" width="6.125" customWidth="1"/>
    <col min="23" max="23" width="3.875" customWidth="1"/>
    <col min="24" max="24" width="33.125" customWidth="1"/>
  </cols>
  <sheetData>
    <row r="4" spans="2:24" ht="18.75">
      <c r="B4" s="19" t="s">
        <v>46</v>
      </c>
      <c r="C4" s="19"/>
      <c r="F4" s="16" t="s">
        <v>82</v>
      </c>
    </row>
    <row r="5" spans="2:24" ht="172.5">
      <c r="B5" s="7" t="s">
        <v>47</v>
      </c>
      <c r="C5" s="11" t="s">
        <v>48</v>
      </c>
      <c r="F5" s="7" t="s">
        <v>83</v>
      </c>
      <c r="G5" s="7" t="s">
        <v>84</v>
      </c>
      <c r="H5" s="7" t="s">
        <v>85</v>
      </c>
      <c r="I5" s="7" t="s">
        <v>86</v>
      </c>
      <c r="J5" s="7" t="s">
        <v>87</v>
      </c>
      <c r="K5" s="7" t="s">
        <v>88</v>
      </c>
      <c r="L5" s="7" t="s">
        <v>0</v>
      </c>
      <c r="M5" s="7" t="s">
        <v>3</v>
      </c>
      <c r="N5" s="7" t="s">
        <v>89</v>
      </c>
      <c r="O5" s="7" t="s">
        <v>90</v>
      </c>
      <c r="P5" s="7" t="s">
        <v>91</v>
      </c>
      <c r="Q5" s="7" t="s">
        <v>92</v>
      </c>
      <c r="R5" s="17" t="s">
        <v>93</v>
      </c>
      <c r="S5" s="17" t="s">
        <v>94</v>
      </c>
      <c r="T5" s="17" t="s">
        <v>95</v>
      </c>
      <c r="U5" s="17" t="s">
        <v>96</v>
      </c>
      <c r="V5" s="17" t="s">
        <v>97</v>
      </c>
      <c r="W5" s="18" t="s">
        <v>98</v>
      </c>
      <c r="X5" s="11" t="s">
        <v>99</v>
      </c>
    </row>
    <row r="6" spans="2:24">
      <c r="B6" s="3">
        <v>1</v>
      </c>
      <c r="C6" s="4" t="s">
        <v>49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3"/>
    </row>
    <row r="7" spans="2:24">
      <c r="B7" s="3">
        <v>2</v>
      </c>
      <c r="C7" s="4" t="s">
        <v>50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4"/>
    </row>
    <row r="8" spans="2:24">
      <c r="B8" s="3">
        <v>3</v>
      </c>
      <c r="C8" s="4" t="s">
        <v>51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4"/>
    </row>
    <row r="9" spans="2:24">
      <c r="B9" s="3">
        <v>4</v>
      </c>
      <c r="C9" s="4" t="s">
        <v>52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4"/>
    </row>
    <row r="10" spans="2:24">
      <c r="B10" s="3">
        <v>5</v>
      </c>
      <c r="C10" s="4" t="s">
        <v>53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4"/>
    </row>
    <row r="11" spans="2:24">
      <c r="B11" s="3">
        <v>6</v>
      </c>
      <c r="C11" s="4" t="s">
        <v>50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4"/>
    </row>
    <row r="12" spans="2:24">
      <c r="B12" s="3">
        <v>7</v>
      </c>
      <c r="C12" s="4" t="s">
        <v>54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4"/>
    </row>
    <row r="13" spans="2:24">
      <c r="B13" s="3">
        <v>8</v>
      </c>
      <c r="C13" s="4" t="s">
        <v>55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4"/>
    </row>
    <row r="14" spans="2:24">
      <c r="B14" s="3">
        <v>9</v>
      </c>
      <c r="C14" s="4" t="s">
        <v>56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4"/>
    </row>
    <row r="15" spans="2:24">
      <c r="B15" s="3">
        <v>10</v>
      </c>
      <c r="C15" s="4" t="s">
        <v>50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</row>
    <row r="16" spans="2:24">
      <c r="B16" s="3">
        <v>11</v>
      </c>
      <c r="C16" s="4" t="s">
        <v>57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</row>
    <row r="17" spans="2:24">
      <c r="B17" s="3">
        <v>12</v>
      </c>
      <c r="C17" s="4" t="s">
        <v>58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4"/>
    </row>
    <row r="18" spans="2:24">
      <c r="B18" s="3">
        <v>13</v>
      </c>
      <c r="C18" s="4" t="s">
        <v>59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</row>
    <row r="19" spans="2:24">
      <c r="B19" s="3">
        <v>14</v>
      </c>
      <c r="C19" s="4" t="s">
        <v>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4"/>
    </row>
    <row r="20" spans="2:24">
      <c r="B20" s="3">
        <v>15</v>
      </c>
      <c r="C20" s="4" t="s">
        <v>60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4"/>
    </row>
    <row r="21" spans="2:24">
      <c r="B21" s="3">
        <v>16</v>
      </c>
      <c r="C21" s="4" t="s">
        <v>61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4"/>
    </row>
    <row r="22" spans="2:24">
      <c r="B22" s="3">
        <v>17</v>
      </c>
      <c r="C22" s="4" t="s">
        <v>62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4"/>
    </row>
    <row r="23" spans="2:24">
      <c r="B23" s="3">
        <v>18</v>
      </c>
      <c r="C23" s="4" t="s">
        <v>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4"/>
    </row>
    <row r="24" spans="2:24">
      <c r="B24" s="3">
        <v>19</v>
      </c>
      <c r="C24" s="4" t="s">
        <v>63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5"/>
    </row>
    <row r="25" spans="2:24">
      <c r="B25" s="3">
        <v>20</v>
      </c>
      <c r="C25" s="4" t="s">
        <v>64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4"/>
    </row>
    <row r="26" spans="2:24">
      <c r="B26" s="3">
        <v>21</v>
      </c>
      <c r="C26" s="4" t="s">
        <v>65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4"/>
    </row>
    <row r="27" spans="2:24">
      <c r="B27" s="3">
        <v>22</v>
      </c>
      <c r="C27" s="4" t="s">
        <v>77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4"/>
    </row>
    <row r="28" spans="2:24">
      <c r="B28" s="3">
        <v>23</v>
      </c>
      <c r="C28" s="4" t="s">
        <v>70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4"/>
    </row>
    <row r="29" spans="2:24">
      <c r="B29" s="3">
        <v>24</v>
      </c>
      <c r="C29" s="4" t="s">
        <v>37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4"/>
    </row>
    <row r="30" spans="2:24">
      <c r="B30" s="3">
        <v>25</v>
      </c>
      <c r="C30" s="4" t="s">
        <v>38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4"/>
    </row>
    <row r="31" spans="2:24">
      <c r="B31" s="3">
        <v>26</v>
      </c>
      <c r="C31" s="4" t="s">
        <v>71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4"/>
    </row>
    <row r="32" spans="2:24">
      <c r="B32" s="3">
        <v>27</v>
      </c>
      <c r="C32" s="4" t="s">
        <v>40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4"/>
    </row>
    <row r="33" spans="2:24">
      <c r="B33" s="3">
        <v>28</v>
      </c>
      <c r="C33" s="4" t="s">
        <v>72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5"/>
    </row>
    <row r="34" spans="2:24">
      <c r="B34" s="3">
        <v>29</v>
      </c>
      <c r="C34" s="4" t="s">
        <v>73</v>
      </c>
    </row>
    <row r="35" spans="2:24">
      <c r="B35" s="3">
        <v>30</v>
      </c>
      <c r="C35" s="4" t="s">
        <v>74</v>
      </c>
    </row>
    <row r="36" spans="2:24">
      <c r="B36" s="3">
        <v>31</v>
      </c>
      <c r="C36" s="4" t="s">
        <v>44</v>
      </c>
    </row>
    <row r="37" spans="2:24">
      <c r="B37" s="3">
        <v>32</v>
      </c>
      <c r="C37" s="4" t="s">
        <v>45</v>
      </c>
    </row>
    <row r="38" spans="2:24">
      <c r="B38" s="3">
        <v>33</v>
      </c>
      <c r="C38" s="4" t="s">
        <v>75</v>
      </c>
    </row>
    <row r="39" spans="2:24">
      <c r="B39" s="3">
        <v>34</v>
      </c>
      <c r="C39" s="4" t="s">
        <v>76</v>
      </c>
    </row>
    <row r="40" spans="2:24">
      <c r="B40" s="3">
        <v>35</v>
      </c>
      <c r="C40" s="4" t="s">
        <v>81</v>
      </c>
    </row>
    <row r="41" spans="2:24">
      <c r="B41" s="3">
        <v>36</v>
      </c>
      <c r="C41" s="4" t="s">
        <v>66</v>
      </c>
    </row>
    <row r="42" spans="2:24">
      <c r="B42" s="3">
        <v>37</v>
      </c>
      <c r="C42" s="4" t="s">
        <v>67</v>
      </c>
    </row>
    <row r="43" spans="2:24">
      <c r="B43" s="3">
        <v>38</v>
      </c>
      <c r="C43" s="4" t="s">
        <v>68</v>
      </c>
    </row>
    <row r="44" spans="2:24">
      <c r="B44" s="3">
        <v>39</v>
      </c>
      <c r="C44" s="4" t="s">
        <v>80</v>
      </c>
    </row>
    <row r="45" spans="2:24">
      <c r="B45" s="3">
        <v>38</v>
      </c>
      <c r="C45" s="4" t="s">
        <v>69</v>
      </c>
    </row>
  </sheetData>
  <mergeCells count="1">
    <mergeCell ref="B4:C4"/>
  </mergeCells>
  <phoneticPr fontId="8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33"/>
  <sheetViews>
    <sheetView tabSelected="1" topLeftCell="F21" zoomScale="130" zoomScaleNormal="130" workbookViewId="0">
      <selection activeCell="Q29" sqref="Q29"/>
    </sheetView>
  </sheetViews>
  <sheetFormatPr defaultColWidth="11" defaultRowHeight="15.75"/>
  <cols>
    <col min="1" max="1" width="5.875" customWidth="1"/>
    <col min="3" max="3" width="3.875" customWidth="1"/>
    <col min="4" max="4" width="7.25" customWidth="1"/>
    <col min="5" max="6" width="3.875" customWidth="1"/>
    <col min="7" max="7" width="6.25" customWidth="1"/>
    <col min="8" max="8" width="7.25" style="28" customWidth="1"/>
    <col min="9" max="9" width="6.25" style="31" customWidth="1"/>
    <col min="10" max="10" width="6.125" customWidth="1"/>
    <col min="11" max="11" width="4.375" customWidth="1"/>
    <col min="12" max="12" width="7.375" customWidth="1"/>
    <col min="13" max="20" width="4.375" customWidth="1"/>
    <col min="21" max="21" width="4" bestFit="1" customWidth="1"/>
    <col min="22" max="22" width="26.875" customWidth="1"/>
  </cols>
  <sheetData>
    <row r="2" spans="2:22">
      <c r="B2" s="16" t="s">
        <v>82</v>
      </c>
    </row>
    <row r="3" spans="2:22" ht="101.25" customHeight="1"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29" t="s">
        <v>0</v>
      </c>
      <c r="I3" s="32" t="s">
        <v>3</v>
      </c>
      <c r="J3" s="7" t="s">
        <v>89</v>
      </c>
      <c r="K3" s="7" t="s">
        <v>90</v>
      </c>
      <c r="L3" s="7" t="s">
        <v>91</v>
      </c>
      <c r="M3" s="7" t="s">
        <v>92</v>
      </c>
      <c r="N3" s="17" t="s">
        <v>93</v>
      </c>
      <c r="O3" s="17" t="s">
        <v>94</v>
      </c>
      <c r="P3" s="17" t="s">
        <v>95</v>
      </c>
      <c r="Q3" s="17" t="s">
        <v>96</v>
      </c>
      <c r="R3" s="17" t="s">
        <v>97</v>
      </c>
      <c r="S3" s="17" t="s">
        <v>107</v>
      </c>
      <c r="T3" s="17" t="s">
        <v>108</v>
      </c>
      <c r="U3" s="18" t="s">
        <v>98</v>
      </c>
      <c r="V3" s="11" t="s">
        <v>99</v>
      </c>
    </row>
    <row r="4" spans="2:22">
      <c r="B4" s="4">
        <v>1</v>
      </c>
      <c r="C4" s="4"/>
      <c r="D4" s="4"/>
      <c r="E4" s="4"/>
      <c r="F4" s="4"/>
      <c r="G4" s="4"/>
      <c r="H4" s="30"/>
      <c r="I4" s="2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>
        <v>2</v>
      </c>
      <c r="V4" s="13"/>
    </row>
    <row r="5" spans="2:22">
      <c r="B5" s="4">
        <v>2</v>
      </c>
      <c r="C5" s="4"/>
      <c r="D5" s="4"/>
      <c r="E5" s="4"/>
      <c r="F5" s="4"/>
      <c r="G5" s="4"/>
      <c r="H5" s="30"/>
      <c r="I5" s="2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3</v>
      </c>
      <c r="V5" s="14"/>
    </row>
    <row r="6" spans="2:22">
      <c r="B6" s="4">
        <v>3</v>
      </c>
      <c r="C6" s="4"/>
      <c r="D6" s="4"/>
      <c r="E6" s="4"/>
      <c r="F6" s="4"/>
      <c r="G6" s="4"/>
      <c r="H6" s="30"/>
      <c r="I6" s="2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>
        <v>4</v>
      </c>
      <c r="V6" s="14" t="s">
        <v>102</v>
      </c>
    </row>
    <row r="7" spans="2:22">
      <c r="B7" s="4">
        <v>4</v>
      </c>
      <c r="C7" s="4">
        <v>600</v>
      </c>
      <c r="D7" s="4"/>
      <c r="E7" s="4"/>
      <c r="F7" s="4"/>
      <c r="G7" s="4"/>
      <c r="H7" s="30"/>
      <c r="I7" s="2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>
        <v>5</v>
      </c>
      <c r="V7" s="20">
        <v>600</v>
      </c>
    </row>
    <row r="8" spans="2:22">
      <c r="B8" s="4">
        <v>5</v>
      </c>
      <c r="C8" s="4"/>
      <c r="D8" s="4"/>
      <c r="E8" s="4"/>
      <c r="F8" s="4"/>
      <c r="G8" s="4"/>
      <c r="H8" s="30"/>
      <c r="I8" s="25"/>
      <c r="J8" s="4"/>
      <c r="K8" s="4"/>
      <c r="L8" s="4"/>
      <c r="M8" s="4"/>
      <c r="N8" s="4" t="s">
        <v>100</v>
      </c>
      <c r="O8" s="4"/>
      <c r="P8" s="4"/>
      <c r="Q8" s="4"/>
      <c r="R8" s="4"/>
      <c r="S8" s="4"/>
      <c r="T8" s="4"/>
      <c r="U8" s="4">
        <v>7</v>
      </c>
      <c r="V8" s="14"/>
    </row>
    <row r="9" spans="2:22">
      <c r="B9" s="21">
        <v>7</v>
      </c>
      <c r="C9" s="4"/>
      <c r="D9" s="4"/>
      <c r="E9" s="4"/>
      <c r="F9" s="4"/>
      <c r="G9" s="4"/>
      <c r="H9" s="30"/>
      <c r="I9" s="2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>
        <v>8</v>
      </c>
      <c r="V9" s="14" t="s">
        <v>101</v>
      </c>
    </row>
    <row r="10" spans="2:22">
      <c r="B10" s="21">
        <v>8</v>
      </c>
      <c r="C10" s="4"/>
      <c r="D10" s="4">
        <v>-2000</v>
      </c>
      <c r="E10" s="4"/>
      <c r="F10" s="4"/>
      <c r="G10" s="4"/>
      <c r="H10" s="30"/>
      <c r="I10" s="2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20">
        <v>-2000</v>
      </c>
    </row>
    <row r="11" spans="2:22">
      <c r="B11" s="21">
        <v>9</v>
      </c>
      <c r="C11" s="4"/>
      <c r="D11" s="4"/>
      <c r="E11" s="4"/>
      <c r="F11" s="4"/>
      <c r="G11" s="4"/>
      <c r="H11" s="30"/>
      <c r="I11" s="25"/>
      <c r="J11" s="4"/>
      <c r="K11" s="4"/>
      <c r="L11" s="4"/>
      <c r="M11" s="4"/>
      <c r="N11" s="4"/>
      <c r="O11" s="24" t="s">
        <v>103</v>
      </c>
      <c r="P11" s="4"/>
      <c r="Q11" s="4"/>
      <c r="R11" s="4"/>
      <c r="S11" s="4"/>
      <c r="T11" s="4"/>
      <c r="U11" s="4">
        <v>7</v>
      </c>
      <c r="V11" s="14"/>
    </row>
    <row r="12" spans="2:22">
      <c r="B12" s="22">
        <v>7</v>
      </c>
      <c r="C12" s="4"/>
      <c r="D12" s="4"/>
      <c r="E12" s="4"/>
      <c r="F12" s="4"/>
      <c r="G12" s="4"/>
      <c r="H12" s="30"/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>
        <v>8</v>
      </c>
      <c r="V12" s="14" t="s">
        <v>101</v>
      </c>
    </row>
    <row r="13" spans="2:22">
      <c r="B13" s="22">
        <v>8</v>
      </c>
      <c r="C13" s="4"/>
      <c r="D13" s="4">
        <v>2000</v>
      </c>
      <c r="E13" s="4"/>
      <c r="F13" s="4"/>
      <c r="G13" s="4"/>
      <c r="H13" s="30"/>
      <c r="I13" s="2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>
        <v>9</v>
      </c>
      <c r="V13" s="20">
        <v>2000</v>
      </c>
    </row>
    <row r="14" spans="2:22">
      <c r="B14" s="22">
        <v>9</v>
      </c>
      <c r="C14" s="4"/>
      <c r="D14" s="4"/>
      <c r="E14" s="4"/>
      <c r="F14" s="4"/>
      <c r="G14" s="4"/>
      <c r="H14" s="30"/>
      <c r="I14" s="25"/>
      <c r="J14" s="4"/>
      <c r="K14" s="4"/>
      <c r="L14" s="4"/>
      <c r="M14" s="4"/>
      <c r="N14" s="4"/>
      <c r="O14" s="26" t="s">
        <v>100</v>
      </c>
      <c r="P14" s="4"/>
      <c r="Q14" s="4"/>
      <c r="R14" s="4"/>
      <c r="S14" s="4"/>
      <c r="T14" s="4"/>
      <c r="U14" s="4">
        <v>11</v>
      </c>
      <c r="V14" s="14"/>
    </row>
    <row r="15" spans="2:22">
      <c r="B15" s="4">
        <v>11</v>
      </c>
      <c r="C15" s="4"/>
      <c r="D15" s="4"/>
      <c r="E15" s="4"/>
      <c r="F15" s="4"/>
      <c r="G15" s="4"/>
      <c r="H15" s="30"/>
      <c r="I15" s="2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>
        <v>12</v>
      </c>
      <c r="V15" s="14" t="s">
        <v>104</v>
      </c>
    </row>
    <row r="16" spans="2:22">
      <c r="B16" s="4">
        <v>12</v>
      </c>
      <c r="C16" s="4"/>
      <c r="D16" s="4"/>
      <c r="E16" s="4">
        <v>2</v>
      </c>
      <c r="F16" s="4"/>
      <c r="G16" s="4"/>
      <c r="H16" s="30"/>
      <c r="I16" s="2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v>13</v>
      </c>
      <c r="V16" s="20">
        <v>2</v>
      </c>
    </row>
    <row r="17" spans="2:22">
      <c r="B17" s="4">
        <v>13</v>
      </c>
      <c r="C17" s="4"/>
      <c r="D17" s="4"/>
      <c r="E17" s="4"/>
      <c r="F17" s="4"/>
      <c r="G17" s="4"/>
      <c r="H17" s="30"/>
      <c r="I17" s="25"/>
      <c r="J17" s="4"/>
      <c r="K17" s="4"/>
      <c r="L17" s="4"/>
      <c r="M17" s="4"/>
      <c r="N17" s="4"/>
      <c r="O17" s="4"/>
      <c r="P17" s="4" t="s">
        <v>100</v>
      </c>
      <c r="Q17" s="4"/>
      <c r="R17" s="4"/>
      <c r="S17" s="4"/>
      <c r="T17" s="4"/>
      <c r="U17" s="4">
        <v>15</v>
      </c>
      <c r="V17" s="14"/>
    </row>
    <row r="18" spans="2:22">
      <c r="B18" s="4">
        <v>15</v>
      </c>
      <c r="C18" s="4"/>
      <c r="D18" s="4"/>
      <c r="E18" s="4"/>
      <c r="F18" s="4"/>
      <c r="G18" s="4"/>
      <c r="H18" s="30"/>
      <c r="I18" s="2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>
        <v>16</v>
      </c>
      <c r="V18" s="14" t="s">
        <v>105</v>
      </c>
    </row>
    <row r="19" spans="2:22">
      <c r="B19" s="4">
        <v>16</v>
      </c>
      <c r="C19" s="4"/>
      <c r="D19" s="4"/>
      <c r="E19" s="4"/>
      <c r="F19" s="4">
        <v>10</v>
      </c>
      <c r="G19" s="4"/>
      <c r="H19" s="30"/>
      <c r="I19" s="2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20">
        <v>10</v>
      </c>
    </row>
    <row r="20" spans="2:22">
      <c r="B20" s="4">
        <v>17</v>
      </c>
      <c r="C20" s="4"/>
      <c r="D20" s="4"/>
      <c r="E20" s="4"/>
      <c r="F20" s="4"/>
      <c r="G20" s="4"/>
      <c r="H20" s="30"/>
      <c r="I20" s="25"/>
      <c r="J20" s="4"/>
      <c r="K20" s="4"/>
      <c r="L20" s="4"/>
      <c r="M20" s="4"/>
      <c r="N20" s="4"/>
      <c r="O20" s="4"/>
      <c r="P20" s="4"/>
      <c r="Q20" s="4" t="s">
        <v>100</v>
      </c>
      <c r="R20" s="4"/>
      <c r="S20" s="4"/>
      <c r="T20" s="4"/>
      <c r="U20" s="4">
        <v>19</v>
      </c>
      <c r="V20" s="14"/>
    </row>
    <row r="21" spans="2:22">
      <c r="B21" s="4">
        <v>19</v>
      </c>
      <c r="C21" s="4"/>
      <c r="D21" s="4"/>
      <c r="E21" s="4"/>
      <c r="F21" s="4"/>
      <c r="G21" s="4"/>
      <c r="H21" s="30"/>
      <c r="I21" s="2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>
        <v>20</v>
      </c>
      <c r="V21" s="14" t="s">
        <v>106</v>
      </c>
    </row>
    <row r="22" spans="2:22">
      <c r="B22" s="4">
        <v>20</v>
      </c>
      <c r="C22" s="4"/>
      <c r="D22" s="4"/>
      <c r="E22" s="4"/>
      <c r="F22" s="4"/>
      <c r="G22" s="4">
        <v>1800</v>
      </c>
      <c r="H22" s="30"/>
      <c r="I22" s="2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>
        <v>21</v>
      </c>
      <c r="V22" s="27">
        <v>1800</v>
      </c>
    </row>
    <row r="23" spans="2:22">
      <c r="B23" s="4">
        <v>21</v>
      </c>
      <c r="C23" s="4"/>
      <c r="D23" s="4"/>
      <c r="E23" s="4"/>
      <c r="F23" s="4"/>
      <c r="G23" s="4"/>
      <c r="H23" s="30"/>
      <c r="I23" s="25"/>
      <c r="J23" s="4"/>
      <c r="K23" s="4"/>
      <c r="L23" s="4"/>
      <c r="M23" s="4"/>
      <c r="N23" s="4"/>
      <c r="O23" s="4"/>
      <c r="P23" s="4"/>
      <c r="Q23" s="4"/>
      <c r="R23" s="4" t="s">
        <v>100</v>
      </c>
      <c r="S23" s="4"/>
      <c r="T23" s="4"/>
      <c r="U23" s="4">
        <v>22</v>
      </c>
      <c r="V23" s="14"/>
    </row>
    <row r="24" spans="2:22">
      <c r="B24" s="4">
        <v>22</v>
      </c>
      <c r="C24" s="4"/>
      <c r="D24" s="4"/>
      <c r="E24" s="4"/>
      <c r="F24" s="4"/>
      <c r="G24" s="4"/>
      <c r="H24" s="30"/>
      <c r="I24" s="25"/>
      <c r="J24" s="4"/>
      <c r="K24" s="4"/>
      <c r="L24" s="4"/>
      <c r="M24" s="4"/>
      <c r="N24" s="4"/>
      <c r="O24" s="4"/>
      <c r="P24" s="4"/>
      <c r="Q24" s="4"/>
      <c r="R24" s="4"/>
      <c r="S24" s="4" t="s">
        <v>103</v>
      </c>
      <c r="T24" s="4"/>
      <c r="U24" s="4">
        <v>25</v>
      </c>
      <c r="V24" s="14"/>
    </row>
    <row r="25" spans="2:22">
      <c r="B25" s="4">
        <v>25</v>
      </c>
      <c r="C25" s="4"/>
      <c r="D25" s="4"/>
      <c r="E25" s="4"/>
      <c r="F25" s="4"/>
      <c r="G25" s="4"/>
      <c r="H25" s="30"/>
      <c r="I25" s="25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103</v>
      </c>
      <c r="U25" s="4">
        <v>28</v>
      </c>
      <c r="V25" s="14"/>
    </row>
    <row r="26" spans="2:22">
      <c r="B26" s="4">
        <v>28</v>
      </c>
      <c r="C26" s="4"/>
      <c r="D26" s="4"/>
      <c r="E26" s="4"/>
      <c r="F26" s="4"/>
      <c r="G26" s="4"/>
      <c r="H26" s="30">
        <f>(2000-600)/(10-2)</f>
        <v>175</v>
      </c>
      <c r="I26" s="2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29</v>
      </c>
      <c r="V26" s="14"/>
    </row>
    <row r="27" spans="2:22">
      <c r="B27" s="4">
        <v>29</v>
      </c>
      <c r="C27" s="4"/>
      <c r="D27" s="4"/>
      <c r="E27" s="4"/>
      <c r="F27" s="4"/>
      <c r="G27" s="4"/>
      <c r="H27" s="30"/>
      <c r="I27" s="25">
        <f>2000-175*10</f>
        <v>250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v>30</v>
      </c>
      <c r="V27" s="14"/>
    </row>
    <row r="28" spans="2:22">
      <c r="B28" s="4">
        <v>30</v>
      </c>
      <c r="C28" s="4"/>
      <c r="D28" s="4"/>
      <c r="E28" s="4"/>
      <c r="F28" s="4"/>
      <c r="G28" s="4"/>
      <c r="H28" s="30"/>
      <c r="I28" s="25"/>
      <c r="J28" s="4">
        <f>(1800-I27)/H26</f>
        <v>8.8571428571428577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>
        <v>33</v>
      </c>
      <c r="V28" s="14"/>
    </row>
    <row r="29" spans="2:22">
      <c r="B29" s="4">
        <v>33</v>
      </c>
      <c r="C29" s="4"/>
      <c r="D29" s="4"/>
      <c r="E29" s="4"/>
      <c r="F29" s="4"/>
      <c r="G29" s="4"/>
      <c r="H29" s="30"/>
      <c r="I29" s="25"/>
      <c r="J29" s="4"/>
      <c r="K29" s="4">
        <f>1800*J28/100</f>
        <v>159.42857142857144</v>
      </c>
      <c r="L29" s="4"/>
      <c r="M29" s="4"/>
      <c r="N29" s="4"/>
      <c r="O29" s="4"/>
      <c r="P29" s="4"/>
      <c r="Q29" s="4"/>
      <c r="R29" s="4"/>
      <c r="S29" s="4"/>
      <c r="T29" s="4"/>
      <c r="U29" s="4">
        <v>34</v>
      </c>
      <c r="V29" s="14"/>
    </row>
    <row r="30" spans="2:22">
      <c r="B30" s="4">
        <v>34</v>
      </c>
      <c r="C30" s="4"/>
      <c r="D30" s="4"/>
      <c r="E30" s="4"/>
      <c r="F30" s="4"/>
      <c r="G30" s="4"/>
      <c r="H30" s="30"/>
      <c r="I30" s="25"/>
      <c r="J30" s="4"/>
      <c r="K30" s="4"/>
      <c r="L30" s="4">
        <f>1800-K29</f>
        <v>1640.5714285714284</v>
      </c>
      <c r="M30" s="4"/>
      <c r="N30" s="4"/>
      <c r="O30" s="4"/>
      <c r="P30" s="4"/>
      <c r="Q30" s="4"/>
      <c r="R30" s="4"/>
      <c r="S30" s="4"/>
      <c r="T30" s="4"/>
      <c r="U30" s="4">
        <v>35</v>
      </c>
      <c r="V30" s="14"/>
    </row>
    <row r="31" spans="2:22">
      <c r="B31" s="4">
        <v>35</v>
      </c>
      <c r="C31" s="4"/>
      <c r="D31" s="4"/>
      <c r="E31" s="4"/>
      <c r="F31" s="4"/>
      <c r="G31" s="4"/>
      <c r="H31" s="30"/>
      <c r="I31" s="2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36</v>
      </c>
      <c r="V31" s="15" t="s">
        <v>109</v>
      </c>
    </row>
    <row r="32" spans="2:22">
      <c r="B32" s="23">
        <v>36</v>
      </c>
      <c r="C32" s="4"/>
      <c r="D32" s="4"/>
      <c r="E32" s="4"/>
      <c r="F32" s="4"/>
      <c r="G32" s="4"/>
      <c r="H32" s="30"/>
      <c r="I32" s="2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23">
        <v>37</v>
      </c>
      <c r="V32" s="4" t="s">
        <v>110</v>
      </c>
    </row>
    <row r="33" spans="2:22">
      <c r="B33" s="23">
        <v>37</v>
      </c>
      <c r="C33" s="4"/>
      <c r="D33" s="4"/>
      <c r="E33" s="4"/>
      <c r="F33" s="4"/>
      <c r="G33" s="4"/>
      <c r="H33" s="30"/>
      <c r="I33" s="2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23">
        <v>38</v>
      </c>
      <c r="V33" s="4" t="s">
        <v>111</v>
      </c>
    </row>
  </sheetData>
  <phoneticPr fontId="8" type="noConversion"/>
  <pageMargins left="0.25" right="0.25" top="0.75000000000000011" bottom="0.75000000000000011" header="0.30000000000000004" footer="0.30000000000000004"/>
  <pageSetup paperSize="9" scale="7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24"/>
  <sheetViews>
    <sheetView topLeftCell="B2" zoomScale="115" zoomScaleNormal="115" workbookViewId="0">
      <selection activeCell="O17" sqref="O17"/>
    </sheetView>
  </sheetViews>
  <sheetFormatPr defaultRowHeight="15.75"/>
  <cols>
    <col min="3" max="3" width="7.375" customWidth="1"/>
    <col min="4" max="9" width="4.375" customWidth="1"/>
    <col min="10" max="13" width="3.125" customWidth="1"/>
    <col min="15" max="15" width="32.625" style="36" customWidth="1"/>
    <col min="16" max="16" width="21.25" customWidth="1"/>
    <col min="17" max="17" width="4.5" customWidth="1"/>
    <col min="18" max="18" width="45.25" bestFit="1" customWidth="1"/>
  </cols>
  <sheetData>
    <row r="1" spans="3:19" ht="154.5" customHeight="1"/>
    <row r="2" spans="3:19" ht="67.5">
      <c r="C2" s="4" t="s">
        <v>83</v>
      </c>
      <c r="D2" s="4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117</v>
      </c>
      <c r="J2" s="33" t="s">
        <v>118</v>
      </c>
      <c r="K2" s="33" t="s">
        <v>113</v>
      </c>
      <c r="L2" s="33" t="s">
        <v>114</v>
      </c>
      <c r="M2" s="33" t="s">
        <v>115</v>
      </c>
      <c r="N2" s="33" t="s">
        <v>119</v>
      </c>
      <c r="O2" s="36" t="s">
        <v>120</v>
      </c>
    </row>
    <row r="3" spans="3:19">
      <c r="C3" s="4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34">
        <v>4</v>
      </c>
      <c r="O3" s="37" t="s">
        <v>164</v>
      </c>
      <c r="P3" s="35"/>
      <c r="Q3" s="4" t="s">
        <v>142</v>
      </c>
      <c r="R3" s="4" t="s">
        <v>49</v>
      </c>
    </row>
    <row r="4" spans="3:19">
      <c r="C4" s="4">
        <v>4</v>
      </c>
      <c r="D4" s="4">
        <v>-10</v>
      </c>
      <c r="E4" s="4"/>
      <c r="F4" s="4"/>
      <c r="G4" s="4"/>
      <c r="H4" s="4"/>
      <c r="I4" s="4"/>
      <c r="J4" s="4"/>
      <c r="K4" s="4"/>
      <c r="L4" s="4"/>
      <c r="M4" s="4"/>
      <c r="N4" s="34">
        <v>5</v>
      </c>
      <c r="O4" s="20">
        <v>20</v>
      </c>
      <c r="P4" s="35"/>
      <c r="Q4" s="4" t="s">
        <v>143</v>
      </c>
      <c r="R4" s="4" t="s">
        <v>121</v>
      </c>
    </row>
    <row r="5" spans="3:19">
      <c r="C5" s="4">
        <v>5</v>
      </c>
      <c r="D5" s="4"/>
      <c r="E5" s="4"/>
      <c r="F5" s="4"/>
      <c r="G5" s="4"/>
      <c r="H5" s="4"/>
      <c r="I5" s="4"/>
      <c r="J5" s="4" t="s">
        <v>100</v>
      </c>
      <c r="K5" s="4"/>
      <c r="L5" s="4"/>
      <c r="M5" s="4"/>
      <c r="N5" s="34">
        <v>7</v>
      </c>
      <c r="O5" s="20"/>
      <c r="P5" s="35"/>
      <c r="Q5" s="4" t="s">
        <v>144</v>
      </c>
      <c r="R5" s="4" t="s">
        <v>122</v>
      </c>
      <c r="S5" t="s">
        <v>123</v>
      </c>
    </row>
    <row r="6" spans="3:19">
      <c r="C6" s="4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34">
        <v>8</v>
      </c>
      <c r="O6" s="37" t="s">
        <v>165</v>
      </c>
      <c r="P6" s="35"/>
      <c r="Q6" s="4" t="s">
        <v>145</v>
      </c>
      <c r="R6" s="4" t="s">
        <v>124</v>
      </c>
    </row>
    <row r="7" spans="3:19">
      <c r="C7" s="4">
        <v>8</v>
      </c>
      <c r="D7" s="4"/>
      <c r="E7" s="4">
        <v>3</v>
      </c>
      <c r="F7" s="4"/>
      <c r="G7" s="4"/>
      <c r="H7" s="4"/>
      <c r="I7" s="4"/>
      <c r="J7" s="4"/>
      <c r="K7" s="4"/>
      <c r="L7" s="4"/>
      <c r="M7" s="4"/>
      <c r="N7" s="34">
        <v>9</v>
      </c>
      <c r="O7" s="20">
        <v>0</v>
      </c>
      <c r="P7" s="35"/>
      <c r="Q7" s="4" t="s">
        <v>146</v>
      </c>
      <c r="R7" s="4" t="s">
        <v>125</v>
      </c>
    </row>
    <row r="8" spans="3:19">
      <c r="C8" s="4">
        <v>9</v>
      </c>
      <c r="D8" s="4"/>
      <c r="E8" s="4"/>
      <c r="F8" s="4"/>
      <c r="G8" s="4"/>
      <c r="H8" s="4"/>
      <c r="I8" s="4"/>
      <c r="J8" s="4"/>
      <c r="K8" s="4" t="s">
        <v>100</v>
      </c>
      <c r="L8" s="4"/>
      <c r="M8" s="4"/>
      <c r="N8" s="34"/>
      <c r="O8" s="20"/>
      <c r="P8" s="35"/>
      <c r="Q8" s="4" t="s">
        <v>147</v>
      </c>
      <c r="R8" s="4" t="s">
        <v>126</v>
      </c>
    </row>
    <row r="9" spans="3:19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34"/>
      <c r="O9" s="36" t="s">
        <v>166</v>
      </c>
      <c r="P9" s="35"/>
      <c r="Q9" s="4" t="s">
        <v>148</v>
      </c>
      <c r="R9" s="4" t="s">
        <v>127</v>
      </c>
      <c r="S9" t="s">
        <v>123</v>
      </c>
    </row>
    <row r="10" spans="3:19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34"/>
      <c r="O10" s="37" t="s">
        <v>165</v>
      </c>
      <c r="P10" s="35"/>
      <c r="Q10" s="4" t="s">
        <v>149</v>
      </c>
      <c r="R10" s="4" t="s">
        <v>128</v>
      </c>
    </row>
    <row r="11" spans="3:19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4"/>
      <c r="O11" s="20">
        <v>3</v>
      </c>
      <c r="P11" s="35"/>
      <c r="Q11" s="4" t="s">
        <v>150</v>
      </c>
      <c r="R11" s="4" t="s">
        <v>129</v>
      </c>
    </row>
    <row r="12" spans="3:19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4"/>
      <c r="O12" s="20"/>
      <c r="P12" s="35"/>
      <c r="Q12" s="4" t="s">
        <v>151</v>
      </c>
      <c r="R12" s="4" t="s">
        <v>130</v>
      </c>
    </row>
    <row r="13" spans="3:19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4"/>
      <c r="O13" s="20"/>
      <c r="P13" s="35"/>
      <c r="Q13" s="4" t="s">
        <v>152</v>
      </c>
      <c r="R13" s="4" t="s">
        <v>131</v>
      </c>
    </row>
    <row r="14" spans="3:19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4"/>
      <c r="O14" s="20"/>
      <c r="P14" s="35"/>
      <c r="Q14" s="4" t="s">
        <v>153</v>
      </c>
      <c r="R14" s="4" t="s">
        <v>132</v>
      </c>
    </row>
    <row r="15" spans="3:19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4"/>
      <c r="O15" s="20"/>
      <c r="P15" s="35"/>
      <c r="Q15" s="4" t="s">
        <v>154</v>
      </c>
      <c r="R15" s="4" t="s">
        <v>133</v>
      </c>
    </row>
    <row r="16" spans="3:19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4"/>
      <c r="O16" s="20"/>
      <c r="P16" s="35"/>
      <c r="Q16" s="4" t="s">
        <v>155</v>
      </c>
      <c r="R16" s="4" t="s">
        <v>134</v>
      </c>
    </row>
    <row r="17" spans="3:18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4"/>
      <c r="O17" s="20">
        <v>20</v>
      </c>
      <c r="P17" s="35"/>
      <c r="Q17" s="4" t="s">
        <v>156</v>
      </c>
      <c r="R17" s="4" t="s">
        <v>135</v>
      </c>
    </row>
    <row r="18" spans="3:18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34"/>
      <c r="O18" s="27">
        <v>15</v>
      </c>
      <c r="P18" s="35"/>
      <c r="Q18" s="4" t="s">
        <v>157</v>
      </c>
      <c r="R18" s="4" t="s">
        <v>136</v>
      </c>
    </row>
    <row r="19" spans="3:18">
      <c r="Q19" s="4" t="s">
        <v>158</v>
      </c>
      <c r="R19" s="4" t="s">
        <v>137</v>
      </c>
    </row>
    <row r="20" spans="3:18">
      <c r="Q20" s="4" t="s">
        <v>159</v>
      </c>
      <c r="R20" s="4" t="s">
        <v>138</v>
      </c>
    </row>
    <row r="21" spans="3:18">
      <c r="Q21" s="4" t="s">
        <v>160</v>
      </c>
      <c r="R21" s="4" t="s">
        <v>139</v>
      </c>
    </row>
    <row r="22" spans="3:18">
      <c r="Q22" s="4" t="s">
        <v>161</v>
      </c>
      <c r="R22" s="4" t="s">
        <v>140</v>
      </c>
    </row>
    <row r="23" spans="3:18">
      <c r="Q23" s="4" t="s">
        <v>162</v>
      </c>
      <c r="R23" s="4" t="s">
        <v>141</v>
      </c>
    </row>
    <row r="24" spans="3:18">
      <c r="Q24" s="4" t="s">
        <v>163</v>
      </c>
      <c r="R24" s="4" t="s">
        <v>69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27"/>
  <sheetViews>
    <sheetView topLeftCell="A28" workbookViewId="0">
      <selection activeCell="F31" sqref="F31"/>
    </sheetView>
  </sheetViews>
  <sheetFormatPr defaultRowHeight="15.75"/>
  <sheetData>
    <row r="2" spans="4:5">
      <c r="D2" t="s">
        <v>47</v>
      </c>
      <c r="E2" t="s">
        <v>48</v>
      </c>
    </row>
    <row r="3" spans="4:5">
      <c r="D3" t="s">
        <v>167</v>
      </c>
      <c r="E3" t="s">
        <v>49</v>
      </c>
    </row>
    <row r="4" spans="4:5">
      <c r="D4" t="s">
        <v>142</v>
      </c>
      <c r="E4" t="s">
        <v>50</v>
      </c>
    </row>
    <row r="5" spans="4:5">
      <c r="D5" t="s">
        <v>143</v>
      </c>
      <c r="E5" t="s">
        <v>168</v>
      </c>
    </row>
    <row r="6" spans="4:5">
      <c r="D6" t="s">
        <v>144</v>
      </c>
      <c r="E6" t="s">
        <v>169</v>
      </c>
    </row>
    <row r="7" spans="4:5">
      <c r="D7" t="s">
        <v>145</v>
      </c>
      <c r="E7" t="s">
        <v>170</v>
      </c>
    </row>
    <row r="8" spans="4:5">
      <c r="D8" t="s">
        <v>146</v>
      </c>
      <c r="E8" t="s">
        <v>50</v>
      </c>
    </row>
    <row r="9" spans="4:5">
      <c r="D9" t="s">
        <v>147</v>
      </c>
      <c r="E9" t="s">
        <v>168</v>
      </c>
    </row>
    <row r="10" spans="4:5">
      <c r="D10" t="s">
        <v>148</v>
      </c>
      <c r="E10" t="s">
        <v>171</v>
      </c>
    </row>
    <row r="11" spans="4:5">
      <c r="D11" t="s">
        <v>149</v>
      </c>
      <c r="E11" t="s">
        <v>172</v>
      </c>
    </row>
    <row r="12" spans="4:5">
      <c r="D12" t="s">
        <v>150</v>
      </c>
      <c r="E12" t="s">
        <v>50</v>
      </c>
    </row>
    <row r="13" spans="4:5">
      <c r="D13" t="s">
        <v>151</v>
      </c>
      <c r="E13" t="s">
        <v>168</v>
      </c>
    </row>
    <row r="14" spans="4:5">
      <c r="D14" t="s">
        <v>152</v>
      </c>
      <c r="E14" t="s">
        <v>173</v>
      </c>
    </row>
    <row r="15" spans="4:5">
      <c r="D15" t="s">
        <v>153</v>
      </c>
      <c r="E15" t="s">
        <v>174</v>
      </c>
    </row>
    <row r="16" spans="4:5">
      <c r="D16" t="s">
        <v>154</v>
      </c>
      <c r="E16" t="s">
        <v>50</v>
      </c>
    </row>
    <row r="17" spans="4:5">
      <c r="D17" t="s">
        <v>155</v>
      </c>
      <c r="E17" t="s">
        <v>168</v>
      </c>
    </row>
    <row r="18" spans="4:5">
      <c r="D18" t="s">
        <v>156</v>
      </c>
      <c r="E18" t="s">
        <v>173</v>
      </c>
    </row>
    <row r="19" spans="4:5">
      <c r="D19" t="s">
        <v>157</v>
      </c>
      <c r="E19" t="s">
        <v>174</v>
      </c>
    </row>
    <row r="20" spans="4:5">
      <c r="D20" t="s">
        <v>158</v>
      </c>
      <c r="E20" t="s">
        <v>179</v>
      </c>
    </row>
    <row r="21" spans="4:5">
      <c r="D21" t="s">
        <v>159</v>
      </c>
      <c r="E21" t="s">
        <v>180</v>
      </c>
    </row>
    <row r="22" spans="4:5">
      <c r="D22" t="s">
        <v>160</v>
      </c>
      <c r="E22" t="s">
        <v>181</v>
      </c>
    </row>
    <row r="23" spans="4:5">
      <c r="D23" t="s">
        <v>161</v>
      </c>
      <c r="E23" t="s">
        <v>182</v>
      </c>
    </row>
    <row r="24" spans="4:5">
      <c r="D24" t="s">
        <v>162</v>
      </c>
      <c r="E24" t="s">
        <v>183</v>
      </c>
    </row>
    <row r="25" spans="4:5">
      <c r="D25" t="s">
        <v>163</v>
      </c>
      <c r="E25" t="s">
        <v>175</v>
      </c>
    </row>
    <row r="26" spans="4:5">
      <c r="D26" t="s">
        <v>177</v>
      </c>
      <c r="E26" t="s">
        <v>176</v>
      </c>
    </row>
    <row r="27" spans="4:5">
      <c r="D27" t="s">
        <v>178</v>
      </c>
      <c r="E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Sheet1</vt:lpstr>
      <vt:lpstr>passos1.0</vt:lpstr>
      <vt:lpstr>passos1.1</vt:lpstr>
      <vt:lpstr>Sheet5</vt:lpstr>
      <vt:lpstr>Folha1</vt:lpstr>
      <vt:lpstr>Folha2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Paulo Jorge Costa Nunes</cp:lastModifiedBy>
  <cp:lastPrinted>2013-10-28T09:58:08Z</cp:lastPrinted>
  <dcterms:created xsi:type="dcterms:W3CDTF">2013-10-27T18:56:47Z</dcterms:created>
  <dcterms:modified xsi:type="dcterms:W3CDTF">2016-10-10T16:06:59Z</dcterms:modified>
</cp:coreProperties>
</file>